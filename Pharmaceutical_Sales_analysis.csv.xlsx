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a89bb866014851de/Desktop/"/>
    </mc:Choice>
  </mc:AlternateContent>
  <xr:revisionPtr revIDLastSave="21" documentId="8_{4F2C9662-2F83-4B1F-B889-B48A4240152F}" xr6:coauthVersionLast="47" xr6:coauthVersionMax="47" xr10:uidLastSave="{50005510-1012-464E-8748-EDE159EE006D}"/>
  <bookViews>
    <workbookView xWindow="-110" yWindow="-110" windowWidth="21820" windowHeight="13900" activeTab="3" xr2:uid="{05761AD5-77B8-4816-899D-5A0B3DC44B09}"/>
  </bookViews>
  <sheets>
    <sheet name="Raw Data" sheetId="1" r:id="rId1"/>
    <sheet name="Analysis" sheetId="2" r:id="rId2"/>
    <sheet name="Dashboard" sheetId="3" r:id="rId3"/>
    <sheet name="Insights &amp; Recommendations" sheetId="4" r:id="rId4"/>
  </sheets>
  <definedNames>
    <definedName name="Slicer_Customer_Type">#N/A</definedName>
    <definedName name="Slicer_Drug_Name">#N/A</definedName>
    <definedName name="Slicer_Quarters__Sale_Date">#N/A</definedName>
    <definedName name="Slicer_Region">#N/A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O5" i="1" l="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 r="Z11" i="3"/>
  <c r="H11" i="3"/>
</calcChain>
</file>

<file path=xl/sharedStrings.xml><?xml version="1.0" encoding="utf-8"?>
<sst xmlns="http://schemas.openxmlformats.org/spreadsheetml/2006/main" count="8709" uniqueCount="2061">
  <si>
    <t>Drug Name</t>
  </si>
  <si>
    <t>Manufacturer</t>
  </si>
  <si>
    <t>Dosage Form</t>
  </si>
  <si>
    <t>Strength</t>
  </si>
  <si>
    <t>Package Size</t>
  </si>
  <si>
    <t>Units Sold</t>
  </si>
  <si>
    <t>Revenue</t>
  </si>
  <si>
    <t>Sale Date</t>
  </si>
  <si>
    <t>Region</t>
  </si>
  <si>
    <t>Sales Representative</t>
  </si>
  <si>
    <t>Customer Type</t>
  </si>
  <si>
    <t>Drug B</t>
  </si>
  <si>
    <t>Company W</t>
  </si>
  <si>
    <t>Tablet</t>
  </si>
  <si>
    <t>100 mg/ml</t>
  </si>
  <si>
    <t>50 g</t>
  </si>
  <si>
    <t>$43833</t>
  </si>
  <si>
    <t>South America</t>
  </si>
  <si>
    <t>Susan Hernandez</t>
  </si>
  <si>
    <t>Clinics</t>
  </si>
  <si>
    <t>Company X</t>
  </si>
  <si>
    <t>Cream</t>
  </si>
  <si>
    <t>500 mg</t>
  </si>
  <si>
    <t>100 ml</t>
  </si>
  <si>
    <t>$48717</t>
  </si>
  <si>
    <t>Jackie Wagner</t>
  </si>
  <si>
    <t>Drug E</t>
  </si>
  <si>
    <t>Capsule</t>
  </si>
  <si>
    <t>50 mg</t>
  </si>
  <si>
    <t>$8744</t>
  </si>
  <si>
    <t>Africa</t>
  </si>
  <si>
    <t>Mariah Mccoy</t>
  </si>
  <si>
    <t>Hospitals</t>
  </si>
  <si>
    <t>Injection</t>
  </si>
  <si>
    <t>10 mg</t>
  </si>
  <si>
    <t>$25321</t>
  </si>
  <si>
    <t>Asia</t>
  </si>
  <si>
    <t>Courtney Doyle</t>
  </si>
  <si>
    <t>Pharmacy</t>
  </si>
  <si>
    <t>Drug C</t>
  </si>
  <si>
    <t>Company V</t>
  </si>
  <si>
    <t>$13669</t>
  </si>
  <si>
    <t>Dawn Torres</t>
  </si>
  <si>
    <t>10 ml</t>
  </si>
  <si>
    <t>$7552</t>
  </si>
  <si>
    <t>Europe</t>
  </si>
  <si>
    <t>Jessica Faulkner</t>
  </si>
  <si>
    <t>$48563</t>
  </si>
  <si>
    <t>North America</t>
  </si>
  <si>
    <t>Alicia Howard</t>
  </si>
  <si>
    <t>$13672</t>
  </si>
  <si>
    <t>David Hill</t>
  </si>
  <si>
    <t>Online Pharmacy</t>
  </si>
  <si>
    <t>Drug A</t>
  </si>
  <si>
    <t>$45835</t>
  </si>
  <si>
    <t>Matthew Johnson</t>
  </si>
  <si>
    <t>Supermarkets</t>
  </si>
  <si>
    <t>$31716</t>
  </si>
  <si>
    <t>Kimberly Murphy</t>
  </si>
  <si>
    <t>Company Y</t>
  </si>
  <si>
    <t>$33931</t>
  </si>
  <si>
    <t>Tyler Brown</t>
  </si>
  <si>
    <t>Company Z</t>
  </si>
  <si>
    <t>$35258</t>
  </si>
  <si>
    <t>Sheila Coleman</t>
  </si>
  <si>
    <t>$36459</t>
  </si>
  <si>
    <t>Douglas Rodriguez</t>
  </si>
  <si>
    <t>$32152</t>
  </si>
  <si>
    <t>Brandi King</t>
  </si>
  <si>
    <t>$13538</t>
  </si>
  <si>
    <t>Susan Brewer</t>
  </si>
  <si>
    <t>$9566</t>
  </si>
  <si>
    <t>Latoya Wright</t>
  </si>
  <si>
    <t>$29932</t>
  </si>
  <si>
    <t>Richard Edwards</t>
  </si>
  <si>
    <t>$45608</t>
  </si>
  <si>
    <t>Mr. Michael Taylor</t>
  </si>
  <si>
    <t>Syrup</t>
  </si>
  <si>
    <t>$42394</t>
  </si>
  <si>
    <t>Angela Castro</t>
  </si>
  <si>
    <t>$48016</t>
  </si>
  <si>
    <t>Christie Brown</t>
  </si>
  <si>
    <t>$11048</t>
  </si>
  <si>
    <t>Annette Fisher</t>
  </si>
  <si>
    <t>$16952</t>
  </si>
  <si>
    <t>Katelyn Smith</t>
  </si>
  <si>
    <t>Drug D</t>
  </si>
  <si>
    <t>$28543</t>
  </si>
  <si>
    <t>Crystal Lawrence</t>
  </si>
  <si>
    <t>250 mg</t>
  </si>
  <si>
    <t>$5766</t>
  </si>
  <si>
    <t>Katherine Sexton</t>
  </si>
  <si>
    <t>$23153</t>
  </si>
  <si>
    <t>Felicia Jones</t>
  </si>
  <si>
    <t>$22920</t>
  </si>
  <si>
    <t>Lisa Johnson</t>
  </si>
  <si>
    <t>$6595</t>
  </si>
  <si>
    <t>Amber Hill</t>
  </si>
  <si>
    <t>$37523</t>
  </si>
  <si>
    <t>Rebecca Lawrence</t>
  </si>
  <si>
    <t>$23815</t>
  </si>
  <si>
    <t>John Smith</t>
  </si>
  <si>
    <t>$40754</t>
  </si>
  <si>
    <t>Scott Jones</t>
  </si>
  <si>
    <t>$35645</t>
  </si>
  <si>
    <t>Cynthia Cook</t>
  </si>
  <si>
    <t>$1820</t>
  </si>
  <si>
    <t>Randy Dunn</t>
  </si>
  <si>
    <t>$13578</t>
  </si>
  <si>
    <t>Michael Cisneros</t>
  </si>
  <si>
    <t>$47682</t>
  </si>
  <si>
    <t>Crystal Keller</t>
  </si>
  <si>
    <t>$41604</t>
  </si>
  <si>
    <t>Christina Lopez</t>
  </si>
  <si>
    <t>$21024</t>
  </si>
  <si>
    <t>Christopher Taylor</t>
  </si>
  <si>
    <t>$18363</t>
  </si>
  <si>
    <t>Lisa Alvarado</t>
  </si>
  <si>
    <t>$2347</t>
  </si>
  <si>
    <t>Kerry Oneill</t>
  </si>
  <si>
    <t>$41781</t>
  </si>
  <si>
    <t>Stephanie Collins</t>
  </si>
  <si>
    <t>$34028</t>
  </si>
  <si>
    <t>Brian Williams</t>
  </si>
  <si>
    <t>$6369</t>
  </si>
  <si>
    <t>Laura Vance</t>
  </si>
  <si>
    <t>$18788</t>
  </si>
  <si>
    <t>Sierra Edwards</t>
  </si>
  <si>
    <t>$22868</t>
  </si>
  <si>
    <t>Lisa Hunter</t>
  </si>
  <si>
    <t>$16211</t>
  </si>
  <si>
    <t>Jeffrey Lane</t>
  </si>
  <si>
    <t>$32496</t>
  </si>
  <si>
    <t>Terri Floyd</t>
  </si>
  <si>
    <t>$40588</t>
  </si>
  <si>
    <t>Patrick Valenzuela</t>
  </si>
  <si>
    <t>$23173</t>
  </si>
  <si>
    <t>Todd Roberts</t>
  </si>
  <si>
    <t>$3801</t>
  </si>
  <si>
    <t>Jessica Donovan</t>
  </si>
  <si>
    <t>$18175</t>
  </si>
  <si>
    <t>Sean Smith</t>
  </si>
  <si>
    <t>$1053</t>
  </si>
  <si>
    <t>Laura Brown</t>
  </si>
  <si>
    <t>$29042</t>
  </si>
  <si>
    <t>Dr. Michael Ortiz</t>
  </si>
  <si>
    <t>$28677</t>
  </si>
  <si>
    <t>Paul Valdez</t>
  </si>
  <si>
    <t>$40547</t>
  </si>
  <si>
    <t>Cassandra Diaz</t>
  </si>
  <si>
    <t>$16542</t>
  </si>
  <si>
    <t>Matthew Richards</t>
  </si>
  <si>
    <t>$33706</t>
  </si>
  <si>
    <t>Travis Gonzalez</t>
  </si>
  <si>
    <t>$38821</t>
  </si>
  <si>
    <t>Sandra Murray</t>
  </si>
  <si>
    <t>$5779</t>
  </si>
  <si>
    <t>Tammy Harper</t>
  </si>
  <si>
    <t>$7678</t>
  </si>
  <si>
    <t>Dwayne Johnson</t>
  </si>
  <si>
    <t>$15878</t>
  </si>
  <si>
    <t>Mary Dorsey</t>
  </si>
  <si>
    <t>$48415</t>
  </si>
  <si>
    <t>Brian Beasley</t>
  </si>
  <si>
    <t>$41051</t>
  </si>
  <si>
    <t>Russell Wong</t>
  </si>
  <si>
    <t>$17900</t>
  </si>
  <si>
    <t>Jason Levy</t>
  </si>
  <si>
    <t>$37654</t>
  </si>
  <si>
    <t>Lindsey Shepherd</t>
  </si>
  <si>
    <t>$22319</t>
  </si>
  <si>
    <t>Matthew Nolan</t>
  </si>
  <si>
    <t>$19247</t>
  </si>
  <si>
    <t>Stephen Schroeder</t>
  </si>
  <si>
    <t>$25411</t>
  </si>
  <si>
    <t>Jennifer Taylor</t>
  </si>
  <si>
    <t>$3809</t>
  </si>
  <si>
    <t>John Ewing</t>
  </si>
  <si>
    <t>$39524</t>
  </si>
  <si>
    <t>Kimberly Blackburn</t>
  </si>
  <si>
    <t>$19740</t>
  </si>
  <si>
    <t>Michael Jones</t>
  </si>
  <si>
    <t>$18797</t>
  </si>
  <si>
    <t>Jacob Salinas</t>
  </si>
  <si>
    <t>$23785</t>
  </si>
  <si>
    <t>Brianna Alexander</t>
  </si>
  <si>
    <t>$31204</t>
  </si>
  <si>
    <t>Patricia Gonzales</t>
  </si>
  <si>
    <t>$45096</t>
  </si>
  <si>
    <t>Caitlyn Juarez</t>
  </si>
  <si>
    <t>$30640</t>
  </si>
  <si>
    <t>Willie Horn</t>
  </si>
  <si>
    <t>$25665</t>
  </si>
  <si>
    <t>Tracy Bond</t>
  </si>
  <si>
    <t>$40605</t>
  </si>
  <si>
    <t>Mark Martin</t>
  </si>
  <si>
    <t>$29315</t>
  </si>
  <si>
    <t>William Wolf MD</t>
  </si>
  <si>
    <t>$10256</t>
  </si>
  <si>
    <t>Kelsey Phillips</t>
  </si>
  <si>
    <t>$44797</t>
  </si>
  <si>
    <t>Corey Weaver</t>
  </si>
  <si>
    <t>$37132</t>
  </si>
  <si>
    <t>Brendan Garza</t>
  </si>
  <si>
    <t>$8234</t>
  </si>
  <si>
    <t>Jeanette Vasquez</t>
  </si>
  <si>
    <t>$11906</t>
  </si>
  <si>
    <t>Jeffrey Rivera</t>
  </si>
  <si>
    <t>$36835</t>
  </si>
  <si>
    <t>Brandy Henderson</t>
  </si>
  <si>
    <t>$45468</t>
  </si>
  <si>
    <t>Robert Jones</t>
  </si>
  <si>
    <t>$22945</t>
  </si>
  <si>
    <t>Jason Caldwell</t>
  </si>
  <si>
    <t>$46398</t>
  </si>
  <si>
    <t>Cynthia Thomas</t>
  </si>
  <si>
    <t>$1303</t>
  </si>
  <si>
    <t>Alicia Lambert</t>
  </si>
  <si>
    <t>$33259</t>
  </si>
  <si>
    <t>Michelle Abbott</t>
  </si>
  <si>
    <t>$8553</t>
  </si>
  <si>
    <t>Robin Roth</t>
  </si>
  <si>
    <t>$28304</t>
  </si>
  <si>
    <t>Emily Mills</t>
  </si>
  <si>
    <t>$33795</t>
  </si>
  <si>
    <t>Michael Roberson</t>
  </si>
  <si>
    <t>$34115</t>
  </si>
  <si>
    <t>Heather Adams</t>
  </si>
  <si>
    <t>$30051</t>
  </si>
  <si>
    <t>Anna Ford</t>
  </si>
  <si>
    <t>$29950</t>
  </si>
  <si>
    <t>Brian Greer</t>
  </si>
  <si>
    <t>$30714</t>
  </si>
  <si>
    <t>Joshua Gomez</t>
  </si>
  <si>
    <t>$45689</t>
  </si>
  <si>
    <t>Michael Orr</t>
  </si>
  <si>
    <t>$35016</t>
  </si>
  <si>
    <t>Elizabeth Powell</t>
  </si>
  <si>
    <t>$11515</t>
  </si>
  <si>
    <t>Steven Decker</t>
  </si>
  <si>
    <t>$49897</t>
  </si>
  <si>
    <t>Lisa Friedman</t>
  </si>
  <si>
    <t>$12572</t>
  </si>
  <si>
    <t>Jeremy Brandt</t>
  </si>
  <si>
    <t>$40809</t>
  </si>
  <si>
    <t>Cheryl Campbell</t>
  </si>
  <si>
    <t>$39757</t>
  </si>
  <si>
    <t>Emily Turner</t>
  </si>
  <si>
    <t>$2237</t>
  </si>
  <si>
    <t>Cheryl Morris</t>
  </si>
  <si>
    <t>$35093</t>
  </si>
  <si>
    <t>Richard Mendoza</t>
  </si>
  <si>
    <t>$44592</t>
  </si>
  <si>
    <t>Isabel Whitaker</t>
  </si>
  <si>
    <t>$29700</t>
  </si>
  <si>
    <t>Darryl Nicholson</t>
  </si>
  <si>
    <t>$37018</t>
  </si>
  <si>
    <t>Patricia Mclean</t>
  </si>
  <si>
    <t>$44885</t>
  </si>
  <si>
    <t>Raymond Scott</t>
  </si>
  <si>
    <t>$14086</t>
  </si>
  <si>
    <t>Cindy Diaz</t>
  </si>
  <si>
    <t>$27380</t>
  </si>
  <si>
    <t>Timothy Bradley</t>
  </si>
  <si>
    <t>$35477</t>
  </si>
  <si>
    <t>Chad Lewis</t>
  </si>
  <si>
    <t>$47265</t>
  </si>
  <si>
    <t>Ashley White</t>
  </si>
  <si>
    <t>$37244</t>
  </si>
  <si>
    <t>Emily Scott</t>
  </si>
  <si>
    <t>$43046</t>
  </si>
  <si>
    <t>Kelly Berry</t>
  </si>
  <si>
    <t>$37589</t>
  </si>
  <si>
    <t>Michael Miller</t>
  </si>
  <si>
    <t>$7516</t>
  </si>
  <si>
    <t>Brian Coleman</t>
  </si>
  <si>
    <t>$19413</t>
  </si>
  <si>
    <t>James Sexton</t>
  </si>
  <si>
    <t>$9225</t>
  </si>
  <si>
    <t>Mitchell Butler</t>
  </si>
  <si>
    <t>$35677</t>
  </si>
  <si>
    <t>Jeremy Mcdaniel</t>
  </si>
  <si>
    <t>$9657</t>
  </si>
  <si>
    <t>Heidi Joseph</t>
  </si>
  <si>
    <t>$14169</t>
  </si>
  <si>
    <t>Caitlyn Smith</t>
  </si>
  <si>
    <t>$24407</t>
  </si>
  <si>
    <t>Robert Brown</t>
  </si>
  <si>
    <t>$3721</t>
  </si>
  <si>
    <t>Catherine Porter</t>
  </si>
  <si>
    <t>$43131</t>
  </si>
  <si>
    <t>Angela Pierce</t>
  </si>
  <si>
    <t>$37526</t>
  </si>
  <si>
    <t>Jason Taylor</t>
  </si>
  <si>
    <t>$27781</t>
  </si>
  <si>
    <t>Stephen Rodriguez</t>
  </si>
  <si>
    <t>$6993</t>
  </si>
  <si>
    <t>Lisa Gross</t>
  </si>
  <si>
    <t>$38657</t>
  </si>
  <si>
    <t>Wyatt Norris</t>
  </si>
  <si>
    <t>$42644</t>
  </si>
  <si>
    <t>Victoria Maldonado</t>
  </si>
  <si>
    <t>$44138</t>
  </si>
  <si>
    <t>Stacey Jordan</t>
  </si>
  <si>
    <t>$5211</t>
  </si>
  <si>
    <t>Isabella Alvarado</t>
  </si>
  <si>
    <t>$42504</t>
  </si>
  <si>
    <t>Anna Griffin</t>
  </si>
  <si>
    <t>$24284</t>
  </si>
  <si>
    <t>Jason Sanders</t>
  </si>
  <si>
    <t>$49653</t>
  </si>
  <si>
    <t>Kevin Sanford</t>
  </si>
  <si>
    <t>$14645</t>
  </si>
  <si>
    <t>Corey Miller</t>
  </si>
  <si>
    <t>$21269</t>
  </si>
  <si>
    <t>Ronald Caldwell</t>
  </si>
  <si>
    <t>$15529</t>
  </si>
  <si>
    <t>Andre Castillo</t>
  </si>
  <si>
    <t>$30435</t>
  </si>
  <si>
    <t>Jessica Nelson</t>
  </si>
  <si>
    <t>$28042</t>
  </si>
  <si>
    <t>Darin Smith</t>
  </si>
  <si>
    <t>$32650</t>
  </si>
  <si>
    <t>Carmen Bailey</t>
  </si>
  <si>
    <t>$32388</t>
  </si>
  <si>
    <t>Kristopher Martinez</t>
  </si>
  <si>
    <t>$9396</t>
  </si>
  <si>
    <t>Joseph Brewer</t>
  </si>
  <si>
    <t>$11786</t>
  </si>
  <si>
    <t>Michael Guzman</t>
  </si>
  <si>
    <t>$19170</t>
  </si>
  <si>
    <t>Theresa Hansen</t>
  </si>
  <si>
    <t>$28574</t>
  </si>
  <si>
    <t>Daniel Murillo</t>
  </si>
  <si>
    <t>$38185</t>
  </si>
  <si>
    <t>Jake Cook</t>
  </si>
  <si>
    <t>$42397</t>
  </si>
  <si>
    <t>Gary Grant</t>
  </si>
  <si>
    <t>$42407</t>
  </si>
  <si>
    <t>Don Brown</t>
  </si>
  <si>
    <t>$49311</t>
  </si>
  <si>
    <t>Shelby Johnson</t>
  </si>
  <si>
    <t>$21123</t>
  </si>
  <si>
    <t>Virginia Phillips</t>
  </si>
  <si>
    <t>$32204</t>
  </si>
  <si>
    <t>Melissa Kennedy</t>
  </si>
  <si>
    <t>$21201</t>
  </si>
  <si>
    <t>Patricia Norris</t>
  </si>
  <si>
    <t>$43256</t>
  </si>
  <si>
    <t>Taylor Barnes</t>
  </si>
  <si>
    <t>$8678</t>
  </si>
  <si>
    <t>Christina Montoya</t>
  </si>
  <si>
    <t>$49381</t>
  </si>
  <si>
    <t>Brittney Gonzales</t>
  </si>
  <si>
    <t>$48645</t>
  </si>
  <si>
    <t>Stephanie Williams</t>
  </si>
  <si>
    <t>$21818</t>
  </si>
  <si>
    <t>Hayden Rodriguez</t>
  </si>
  <si>
    <t>$7513</t>
  </si>
  <si>
    <t>Susan Mccoy</t>
  </si>
  <si>
    <t>$4294</t>
  </si>
  <si>
    <t>Keith Payne</t>
  </si>
  <si>
    <t>$24941</t>
  </si>
  <si>
    <t>John Lindsey</t>
  </si>
  <si>
    <t>$46339</t>
  </si>
  <si>
    <t>Hannah Long</t>
  </si>
  <si>
    <t>$9800</t>
  </si>
  <si>
    <t>Kevin Gates</t>
  </si>
  <si>
    <t>$48204</t>
  </si>
  <si>
    <t>Ricky Garner</t>
  </si>
  <si>
    <t>$19752</t>
  </si>
  <si>
    <t>Elizabeth Lopez</t>
  </si>
  <si>
    <t>$37074</t>
  </si>
  <si>
    <t>Gary Valencia</t>
  </si>
  <si>
    <t>$7794</t>
  </si>
  <si>
    <t>Emily Brown</t>
  </si>
  <si>
    <t>$33904</t>
  </si>
  <si>
    <t>Richard Stewart</t>
  </si>
  <si>
    <t>$15758</t>
  </si>
  <si>
    <t>Aaron Cline</t>
  </si>
  <si>
    <t>$46906</t>
  </si>
  <si>
    <t>Joshua Phillips</t>
  </si>
  <si>
    <t>$13081</t>
  </si>
  <si>
    <t>Tammy Wolfe</t>
  </si>
  <si>
    <t>$23680</t>
  </si>
  <si>
    <t>Catherine Henry</t>
  </si>
  <si>
    <t>$19965</t>
  </si>
  <si>
    <t>Tiffany Lane</t>
  </si>
  <si>
    <t>$49694</t>
  </si>
  <si>
    <t>Jodi Lowe</t>
  </si>
  <si>
    <t>$42355</t>
  </si>
  <si>
    <t>James Elliott</t>
  </si>
  <si>
    <t>$45637</t>
  </si>
  <si>
    <t>Cody Williams</t>
  </si>
  <si>
    <t>$46407</t>
  </si>
  <si>
    <t>Brian Sanchez</t>
  </si>
  <si>
    <t>$37320</t>
  </si>
  <si>
    <t>Teresa Taylor</t>
  </si>
  <si>
    <t>$26575</t>
  </si>
  <si>
    <t>Dana Sharp</t>
  </si>
  <si>
    <t>$33005</t>
  </si>
  <si>
    <t>Kevin Boyle</t>
  </si>
  <si>
    <t>$43392</t>
  </si>
  <si>
    <t>Dennis Wilson</t>
  </si>
  <si>
    <t>$34603</t>
  </si>
  <si>
    <t>Darrell Parsons</t>
  </si>
  <si>
    <t>$27787</t>
  </si>
  <si>
    <t>Charles Roberson</t>
  </si>
  <si>
    <t>$41152</t>
  </si>
  <si>
    <t>Jodi Reed</t>
  </si>
  <si>
    <t>$47207</t>
  </si>
  <si>
    <t>Lisa Williams</t>
  </si>
  <si>
    <t>$31891</t>
  </si>
  <si>
    <t>Meagan Braun</t>
  </si>
  <si>
    <t>$25257</t>
  </si>
  <si>
    <t>Michael Gibson</t>
  </si>
  <si>
    <t>$28319</t>
  </si>
  <si>
    <t>Mark Rivas</t>
  </si>
  <si>
    <t>$20149</t>
  </si>
  <si>
    <t>Paul Sullivan</t>
  </si>
  <si>
    <t>$20979</t>
  </si>
  <si>
    <t>Mr. Kevin Larson</t>
  </si>
  <si>
    <t>$24090</t>
  </si>
  <si>
    <t>George White</t>
  </si>
  <si>
    <t>$10545</t>
  </si>
  <si>
    <t>John Davis</t>
  </si>
  <si>
    <t>$37020</t>
  </si>
  <si>
    <t>Kevin Clark</t>
  </si>
  <si>
    <t>$12714</t>
  </si>
  <si>
    <t>John Orozco</t>
  </si>
  <si>
    <t>$8859</t>
  </si>
  <si>
    <t>Danielle Thomas</t>
  </si>
  <si>
    <t>$14721</t>
  </si>
  <si>
    <t>Yolanda Sims</t>
  </si>
  <si>
    <t>$4821</t>
  </si>
  <si>
    <t>John Allen</t>
  </si>
  <si>
    <t>$26268</t>
  </si>
  <si>
    <t>Larry Dunn</t>
  </si>
  <si>
    <t>$12451</t>
  </si>
  <si>
    <t>Robert Clark</t>
  </si>
  <si>
    <t>$19171</t>
  </si>
  <si>
    <t>Pamela Benson</t>
  </si>
  <si>
    <t>$45953</t>
  </si>
  <si>
    <t>Emily Wright</t>
  </si>
  <si>
    <t>$18487</t>
  </si>
  <si>
    <t>Robert Johnson</t>
  </si>
  <si>
    <t>$29056</t>
  </si>
  <si>
    <t>Phillip Turner</t>
  </si>
  <si>
    <t>$4566</t>
  </si>
  <si>
    <t>Antonio Murphy</t>
  </si>
  <si>
    <t>$5040</t>
  </si>
  <si>
    <t>Erin Cline</t>
  </si>
  <si>
    <t>$33003</t>
  </si>
  <si>
    <t>Jessica Morris</t>
  </si>
  <si>
    <t>$13838</t>
  </si>
  <si>
    <t>Stephen Smith</t>
  </si>
  <si>
    <t>$21856</t>
  </si>
  <si>
    <t>Kayla Meyer</t>
  </si>
  <si>
    <t>$41156</t>
  </si>
  <si>
    <t>Cynthia Phillips</t>
  </si>
  <si>
    <t>$41978</t>
  </si>
  <si>
    <t>James Smith</t>
  </si>
  <si>
    <t>$46616</t>
  </si>
  <si>
    <t>Jacob Spencer</t>
  </si>
  <si>
    <t>$9133</t>
  </si>
  <si>
    <t>Joseph Marks</t>
  </si>
  <si>
    <t>$26054</t>
  </si>
  <si>
    <t>James Campbell</t>
  </si>
  <si>
    <t>$41356</t>
  </si>
  <si>
    <t>Kristina Simpson</t>
  </si>
  <si>
    <t>$2719</t>
  </si>
  <si>
    <t>Cody Robbins</t>
  </si>
  <si>
    <t>$11887</t>
  </si>
  <si>
    <t>Karen Buchanan</t>
  </si>
  <si>
    <t>$36153</t>
  </si>
  <si>
    <t>James Haley</t>
  </si>
  <si>
    <t>$21685</t>
  </si>
  <si>
    <t>Sarah Hammond</t>
  </si>
  <si>
    <t>$49601</t>
  </si>
  <si>
    <t>Rebecca Jackson</t>
  </si>
  <si>
    <t>$15021</t>
  </si>
  <si>
    <t>Angela Nunez</t>
  </si>
  <si>
    <t>$15353</t>
  </si>
  <si>
    <t>Richard Gutierrez</t>
  </si>
  <si>
    <t>$46470</t>
  </si>
  <si>
    <t>Barbara Kim</t>
  </si>
  <si>
    <t>$32783</t>
  </si>
  <si>
    <t>Elizabeth Mcdaniel</t>
  </si>
  <si>
    <t>$9722</t>
  </si>
  <si>
    <t>Jamie Fischer</t>
  </si>
  <si>
    <t>$32835</t>
  </si>
  <si>
    <t>Andre Bauer</t>
  </si>
  <si>
    <t>$36720</t>
  </si>
  <si>
    <t>Robert Graham</t>
  </si>
  <si>
    <t>$1486</t>
  </si>
  <si>
    <t>Elizabeth Adams</t>
  </si>
  <si>
    <t>$17354</t>
  </si>
  <si>
    <t>Richard Lawson</t>
  </si>
  <si>
    <t>$17302</t>
  </si>
  <si>
    <t>Christopher Fischer</t>
  </si>
  <si>
    <t>$19153</t>
  </si>
  <si>
    <t>Jasmine Day</t>
  </si>
  <si>
    <t>$36616</t>
  </si>
  <si>
    <t>Lisa Cordova</t>
  </si>
  <si>
    <t>$4766</t>
  </si>
  <si>
    <t>Alejandro Bishop</t>
  </si>
  <si>
    <t>$25748</t>
  </si>
  <si>
    <t>David Anderson</t>
  </si>
  <si>
    <t>$27880</t>
  </si>
  <si>
    <t>Sara Chapman</t>
  </si>
  <si>
    <t>$8649</t>
  </si>
  <si>
    <t>Kevin Wilson</t>
  </si>
  <si>
    <t>$30214</t>
  </si>
  <si>
    <t>Edward Silva</t>
  </si>
  <si>
    <t>$10749</t>
  </si>
  <si>
    <t>Erika Robinson</t>
  </si>
  <si>
    <t>$17487</t>
  </si>
  <si>
    <t>Lauren Baker</t>
  </si>
  <si>
    <t>$32593</t>
  </si>
  <si>
    <t>Christopher Wilson</t>
  </si>
  <si>
    <t>$21911</t>
  </si>
  <si>
    <t>Steven Bray</t>
  </si>
  <si>
    <t>$16623</t>
  </si>
  <si>
    <t>Sharon Carter</t>
  </si>
  <si>
    <t>$29993</t>
  </si>
  <si>
    <t>Gregg Yu</t>
  </si>
  <si>
    <t>$43114</t>
  </si>
  <si>
    <t>Bradley Pennington</t>
  </si>
  <si>
    <t>$46578</t>
  </si>
  <si>
    <t>Angelica Hensley</t>
  </si>
  <si>
    <t>$15499</t>
  </si>
  <si>
    <t>Benjamin Holloway</t>
  </si>
  <si>
    <t>$37740</t>
  </si>
  <si>
    <t>Michael Williams</t>
  </si>
  <si>
    <t>$36217</t>
  </si>
  <si>
    <t>William Ford</t>
  </si>
  <si>
    <t>$33004</t>
  </si>
  <si>
    <t>Miss Elizabeth Evans</t>
  </si>
  <si>
    <t>$30761</t>
  </si>
  <si>
    <t>James Mccarty</t>
  </si>
  <si>
    <t>$32469</t>
  </si>
  <si>
    <t>Adam Cox</t>
  </si>
  <si>
    <t>$37133</t>
  </si>
  <si>
    <t>Brandon Cooper</t>
  </si>
  <si>
    <t>$45767</t>
  </si>
  <si>
    <t>Cathy Gonzalez</t>
  </si>
  <si>
    <t>$19770</t>
  </si>
  <si>
    <t>Mrs. Hailey Johnson DDS</t>
  </si>
  <si>
    <t>$29546</t>
  </si>
  <si>
    <t>Austin Martinez</t>
  </si>
  <si>
    <t>$46620</t>
  </si>
  <si>
    <t>Stephanie Davis</t>
  </si>
  <si>
    <t>$44954</t>
  </si>
  <si>
    <t>Erica Bass</t>
  </si>
  <si>
    <t>$24140</t>
  </si>
  <si>
    <t>Jonathan Brown</t>
  </si>
  <si>
    <t>$1848</t>
  </si>
  <si>
    <t>Zachary Miller</t>
  </si>
  <si>
    <t>$1329</t>
  </si>
  <si>
    <t>Dr. Laura Shaffer</t>
  </si>
  <si>
    <t>$34522</t>
  </si>
  <si>
    <t>Paul Smith</t>
  </si>
  <si>
    <t>$34972</t>
  </si>
  <si>
    <t>Stacey Hart</t>
  </si>
  <si>
    <t>$1492</t>
  </si>
  <si>
    <t>Dr. Sara Wilson</t>
  </si>
  <si>
    <t>$40432</t>
  </si>
  <si>
    <t>Gary Lucas</t>
  </si>
  <si>
    <t>$14261</t>
  </si>
  <si>
    <t>Jacqueline Greene</t>
  </si>
  <si>
    <t>$26182</t>
  </si>
  <si>
    <t>Joseph Ross</t>
  </si>
  <si>
    <t>$33782</t>
  </si>
  <si>
    <t>John Davila</t>
  </si>
  <si>
    <t>$40651</t>
  </si>
  <si>
    <t>Jerry Michael</t>
  </si>
  <si>
    <t>$25573</t>
  </si>
  <si>
    <t>Christina Blankenship</t>
  </si>
  <si>
    <t>$31956</t>
  </si>
  <si>
    <t>Daniel Bryant</t>
  </si>
  <si>
    <t>$30983</t>
  </si>
  <si>
    <t>Maria Moore</t>
  </si>
  <si>
    <t>$21160</t>
  </si>
  <si>
    <t>Danny Pennington</t>
  </si>
  <si>
    <t>$43409</t>
  </si>
  <si>
    <t>Geoffrey Elliott</t>
  </si>
  <si>
    <t>$46392</t>
  </si>
  <si>
    <t>Heather Simmons</t>
  </si>
  <si>
    <t>$10257</t>
  </si>
  <si>
    <t>Mark Mckinney</t>
  </si>
  <si>
    <t>$17663</t>
  </si>
  <si>
    <t>Amy Dickson</t>
  </si>
  <si>
    <t>$4175</t>
  </si>
  <si>
    <t>Bradley Dean</t>
  </si>
  <si>
    <t>$26976</t>
  </si>
  <si>
    <t>Dylan Warren</t>
  </si>
  <si>
    <t>$32615</t>
  </si>
  <si>
    <t>Ryan Thompson</t>
  </si>
  <si>
    <t>$1411</t>
  </si>
  <si>
    <t>Alicia Flynn</t>
  </si>
  <si>
    <t>$25953</t>
  </si>
  <si>
    <t>Felicia Wallace</t>
  </si>
  <si>
    <t>$4779</t>
  </si>
  <si>
    <t>Jeffrey Molina</t>
  </si>
  <si>
    <t>$30313</t>
  </si>
  <si>
    <t>Dustin Stephenson</t>
  </si>
  <si>
    <t>$11544</t>
  </si>
  <si>
    <t>Autumn Francis</t>
  </si>
  <si>
    <t>$48883</t>
  </si>
  <si>
    <t>Audrey Pennington</t>
  </si>
  <si>
    <t>$34649</t>
  </si>
  <si>
    <t>Thomas Chapman</t>
  </si>
  <si>
    <t>$33170</t>
  </si>
  <si>
    <t>David Johnson</t>
  </si>
  <si>
    <t>$22000</t>
  </si>
  <si>
    <t>Donna Lucas</t>
  </si>
  <si>
    <t>$29744</t>
  </si>
  <si>
    <t>Michael Robinson</t>
  </si>
  <si>
    <t>$14526</t>
  </si>
  <si>
    <t>Austin Martin</t>
  </si>
  <si>
    <t>$25559</t>
  </si>
  <si>
    <t>Julie Ferguson</t>
  </si>
  <si>
    <t>$24965</t>
  </si>
  <si>
    <t>Justin Coffey</t>
  </si>
  <si>
    <t>$36514</t>
  </si>
  <si>
    <t>Daniel Kelly</t>
  </si>
  <si>
    <t>$46602</t>
  </si>
  <si>
    <t>Leah Miller</t>
  </si>
  <si>
    <t>$28326</t>
  </si>
  <si>
    <t>Amy Jackson</t>
  </si>
  <si>
    <t>$20215</t>
  </si>
  <si>
    <t>Brian Dennis</t>
  </si>
  <si>
    <t>$23543</t>
  </si>
  <si>
    <t>Elizabeth Branch</t>
  </si>
  <si>
    <t>$34365</t>
  </si>
  <si>
    <t>Rebecca Baker</t>
  </si>
  <si>
    <t>$13462</t>
  </si>
  <si>
    <t>Ryan Beck</t>
  </si>
  <si>
    <t>$32893</t>
  </si>
  <si>
    <t>Annette Bartlett</t>
  </si>
  <si>
    <t>$25596</t>
  </si>
  <si>
    <t>Cameron Garcia</t>
  </si>
  <si>
    <t>$20214</t>
  </si>
  <si>
    <t>Carlos Sawyer</t>
  </si>
  <si>
    <t>$1522</t>
  </si>
  <si>
    <t>Anthony Bell</t>
  </si>
  <si>
    <t>$16585</t>
  </si>
  <si>
    <t>Adam Brown</t>
  </si>
  <si>
    <t>$32199</t>
  </si>
  <si>
    <t>Phyllis Robertson</t>
  </si>
  <si>
    <t>$37594</t>
  </si>
  <si>
    <t>Justin Hamilton</t>
  </si>
  <si>
    <t>$26559</t>
  </si>
  <si>
    <t>Lucas Dunn</t>
  </si>
  <si>
    <t>$22379</t>
  </si>
  <si>
    <t>Aaron Douglas</t>
  </si>
  <si>
    <t>$41442</t>
  </si>
  <si>
    <t>Gregory Ross</t>
  </si>
  <si>
    <t>$41228</t>
  </si>
  <si>
    <t>Corey Wong</t>
  </si>
  <si>
    <t>$42632</t>
  </si>
  <si>
    <t>Bobby Price</t>
  </si>
  <si>
    <t>$28351</t>
  </si>
  <si>
    <t>Nicole Jones</t>
  </si>
  <si>
    <t>$42915</t>
  </si>
  <si>
    <t>Bonnie Thompson</t>
  </si>
  <si>
    <t>$26634</t>
  </si>
  <si>
    <t>Dawn Rogers</t>
  </si>
  <si>
    <t>$21681</t>
  </si>
  <si>
    <t>Robert Kelley</t>
  </si>
  <si>
    <t>$22835</t>
  </si>
  <si>
    <t>Anna Jordan</t>
  </si>
  <si>
    <t>$31240</t>
  </si>
  <si>
    <t>Seth Jenkins</t>
  </si>
  <si>
    <t>$9455</t>
  </si>
  <si>
    <t>Tiffany Brown</t>
  </si>
  <si>
    <t>$32910</t>
  </si>
  <si>
    <t>Michael Ortiz</t>
  </si>
  <si>
    <t>$24350</t>
  </si>
  <si>
    <t>Lauren Brown</t>
  </si>
  <si>
    <t>$17828</t>
  </si>
  <si>
    <t>Barbara Richard</t>
  </si>
  <si>
    <t>$37249</t>
  </si>
  <si>
    <t>Haley Maldonado</t>
  </si>
  <si>
    <t>$7222</t>
  </si>
  <si>
    <t>Timothy Crosby</t>
  </si>
  <si>
    <t>$5856</t>
  </si>
  <si>
    <t>Robin Benton</t>
  </si>
  <si>
    <t>$19148</t>
  </si>
  <si>
    <t>Mr. David Bennett</t>
  </si>
  <si>
    <t>$30615</t>
  </si>
  <si>
    <t>Alexander Maynard</t>
  </si>
  <si>
    <t>$33113</t>
  </si>
  <si>
    <t>Julia Stevens</t>
  </si>
  <si>
    <t>$42794</t>
  </si>
  <si>
    <t>Kimberly Stewart</t>
  </si>
  <si>
    <t>$29314</t>
  </si>
  <si>
    <t>Rachel Allen</t>
  </si>
  <si>
    <t>$47811</t>
  </si>
  <si>
    <t>Tracy Erickson</t>
  </si>
  <si>
    <t>$16660</t>
  </si>
  <si>
    <t>William Parks</t>
  </si>
  <si>
    <t>$32269</t>
  </si>
  <si>
    <t>Paul Morgan</t>
  </si>
  <si>
    <t>$10708</t>
  </si>
  <si>
    <t>Jessica Vincent</t>
  </si>
  <si>
    <t>$5489</t>
  </si>
  <si>
    <t>Elizabeth Ray</t>
  </si>
  <si>
    <t>$11345</t>
  </si>
  <si>
    <t>James Graham</t>
  </si>
  <si>
    <t>$8953</t>
  </si>
  <si>
    <t>Darrell Kelly</t>
  </si>
  <si>
    <t>$27251</t>
  </si>
  <si>
    <t>Richard Thomas</t>
  </si>
  <si>
    <t>$16582</t>
  </si>
  <si>
    <t>Laura Gregory</t>
  </si>
  <si>
    <t>$20916</t>
  </si>
  <si>
    <t>David Castro</t>
  </si>
  <si>
    <t>$30905</t>
  </si>
  <si>
    <t>Jessica Webster</t>
  </si>
  <si>
    <t>$16636</t>
  </si>
  <si>
    <t>Cristina Stevens</t>
  </si>
  <si>
    <t>$9172</t>
  </si>
  <si>
    <t>Lauren Bryant</t>
  </si>
  <si>
    <t>$15055</t>
  </si>
  <si>
    <t>Adam Shelton</t>
  </si>
  <si>
    <t>$17065</t>
  </si>
  <si>
    <t>Ashley Pittman</t>
  </si>
  <si>
    <t>$20074</t>
  </si>
  <si>
    <t>Miss Amy Perry</t>
  </si>
  <si>
    <t>$25684</t>
  </si>
  <si>
    <t>Johnny Kim</t>
  </si>
  <si>
    <t>$14779</t>
  </si>
  <si>
    <t>Yvonne Rogers</t>
  </si>
  <si>
    <t>$20905</t>
  </si>
  <si>
    <t>Mr. Kevin Duffy</t>
  </si>
  <si>
    <t>$11761</t>
  </si>
  <si>
    <t>Angela Brown</t>
  </si>
  <si>
    <t>$29966</t>
  </si>
  <si>
    <t>Lauren Gilbert</t>
  </si>
  <si>
    <t>$32047</t>
  </si>
  <si>
    <t>Michael Solis</t>
  </si>
  <si>
    <t>$40972</t>
  </si>
  <si>
    <t>Andre Skinner</t>
  </si>
  <si>
    <t>$15799</t>
  </si>
  <si>
    <t>Jamie Martin</t>
  </si>
  <si>
    <t>$28440</t>
  </si>
  <si>
    <t>Allison Alvarado</t>
  </si>
  <si>
    <t>$22584</t>
  </si>
  <si>
    <t>Amy Anderson</t>
  </si>
  <si>
    <t>$49864</t>
  </si>
  <si>
    <t>Ariel Brown</t>
  </si>
  <si>
    <t>$15266</t>
  </si>
  <si>
    <t>John Newman</t>
  </si>
  <si>
    <t>$5128</t>
  </si>
  <si>
    <t>Jon Richardson</t>
  </si>
  <si>
    <t>$39113</t>
  </si>
  <si>
    <t>Sarah Burnett</t>
  </si>
  <si>
    <t>$12514</t>
  </si>
  <si>
    <t>Jason Bradley</t>
  </si>
  <si>
    <t>$45452</t>
  </si>
  <si>
    <t>Brendan Harrington</t>
  </si>
  <si>
    <t>$32754</t>
  </si>
  <si>
    <t>Danny Bernard</t>
  </si>
  <si>
    <t>$20937</t>
  </si>
  <si>
    <t>Timothy Villanueva</t>
  </si>
  <si>
    <t>$35777</t>
  </si>
  <si>
    <t>$47220</t>
  </si>
  <si>
    <t>Amy Adams</t>
  </si>
  <si>
    <t>$28524</t>
  </si>
  <si>
    <t>$4900</t>
  </si>
  <si>
    <t>Casey Coleman</t>
  </si>
  <si>
    <t>$17179</t>
  </si>
  <si>
    <t>Samuel Lopez</t>
  </si>
  <si>
    <t>$42474</t>
  </si>
  <si>
    <t>Joseph Johnson</t>
  </si>
  <si>
    <t>$45750</t>
  </si>
  <si>
    <t>Mark Reed</t>
  </si>
  <si>
    <t>$40553</t>
  </si>
  <si>
    <t>Maurice Mcintosh</t>
  </si>
  <si>
    <t>$6016</t>
  </si>
  <si>
    <t>Ryan Cardenas</t>
  </si>
  <si>
    <t>$35859</t>
  </si>
  <si>
    <t>Rachel Robinson</t>
  </si>
  <si>
    <t>$15607</t>
  </si>
  <si>
    <t>Charles Wagner</t>
  </si>
  <si>
    <t>$3436</t>
  </si>
  <si>
    <t>Donna White</t>
  </si>
  <si>
    <t>$14001</t>
  </si>
  <si>
    <t>Shane Burke</t>
  </si>
  <si>
    <t>$33631</t>
  </si>
  <si>
    <t>Daniel Newton</t>
  </si>
  <si>
    <t>$39477</t>
  </si>
  <si>
    <t>Anita Morgan</t>
  </si>
  <si>
    <t>$13808</t>
  </si>
  <si>
    <t>Sheryl Ramos</t>
  </si>
  <si>
    <t>$28471</t>
  </si>
  <si>
    <t>Robert Cline</t>
  </si>
  <si>
    <t>$3360</t>
  </si>
  <si>
    <t>Katherine Smith</t>
  </si>
  <si>
    <t>$25685</t>
  </si>
  <si>
    <t>Sarah Martin</t>
  </si>
  <si>
    <t>$20390</t>
  </si>
  <si>
    <t>Maria Sullivan</t>
  </si>
  <si>
    <t>$22277</t>
  </si>
  <si>
    <t>Janet Bates</t>
  </si>
  <si>
    <t>$22108</t>
  </si>
  <si>
    <t>Jorge Garcia</t>
  </si>
  <si>
    <t>$45719</t>
  </si>
  <si>
    <t>Jacob Bennett</t>
  </si>
  <si>
    <t>$10882</t>
  </si>
  <si>
    <t>Sarah Davila</t>
  </si>
  <si>
    <t>$26352</t>
  </si>
  <si>
    <t>Carolyn Rhodes</t>
  </si>
  <si>
    <t>$39952</t>
  </si>
  <si>
    <t>Erik Silva</t>
  </si>
  <si>
    <t>$21133</t>
  </si>
  <si>
    <t>Eric Lee</t>
  </si>
  <si>
    <t>$46966</t>
  </si>
  <si>
    <t>David Bell</t>
  </si>
  <si>
    <t>$37255</t>
  </si>
  <si>
    <t>Raymond Aguirre</t>
  </si>
  <si>
    <t>Juan Webb</t>
  </si>
  <si>
    <t>$18402</t>
  </si>
  <si>
    <t>$12823</t>
  </si>
  <si>
    <t>Daniel Poole</t>
  </si>
  <si>
    <t>$39016</t>
  </si>
  <si>
    <t>Joseph Howard</t>
  </si>
  <si>
    <t>$49397</t>
  </si>
  <si>
    <t>Madison Butler</t>
  </si>
  <si>
    <t>$3098</t>
  </si>
  <si>
    <t>Cameron Hunter</t>
  </si>
  <si>
    <t>$38375</t>
  </si>
  <si>
    <t>$2858</t>
  </si>
  <si>
    <t>Brian Dodson</t>
  </si>
  <si>
    <t>$20696</t>
  </si>
  <si>
    <t>Savannah Brown</t>
  </si>
  <si>
    <t>$17960</t>
  </si>
  <si>
    <t>John Gates</t>
  </si>
  <si>
    <t>$15965</t>
  </si>
  <si>
    <t>Christine Willis</t>
  </si>
  <si>
    <t>$17227</t>
  </si>
  <si>
    <t>Rebecca Taylor</t>
  </si>
  <si>
    <t>$1301</t>
  </si>
  <si>
    <t>Lauren Johnson</t>
  </si>
  <si>
    <t>$1770</t>
  </si>
  <si>
    <t>Candace Bowen</t>
  </si>
  <si>
    <t>$24712</t>
  </si>
  <si>
    <t>Chase Melendez</t>
  </si>
  <si>
    <t>$41916</t>
  </si>
  <si>
    <t>Mr. Austin Park</t>
  </si>
  <si>
    <t>$40529</t>
  </si>
  <si>
    <t>Wendy Cowan</t>
  </si>
  <si>
    <t>$34645</t>
  </si>
  <si>
    <t>Shelly Ball</t>
  </si>
  <si>
    <t>$26167</t>
  </si>
  <si>
    <t>Nancy Evans</t>
  </si>
  <si>
    <t>$49962</t>
  </si>
  <si>
    <t>Cathy Hooper</t>
  </si>
  <si>
    <t>$1972</t>
  </si>
  <si>
    <t>Amy Garcia</t>
  </si>
  <si>
    <t>$26394</t>
  </si>
  <si>
    <t>Deborah Lopez</t>
  </si>
  <si>
    <t>$30738</t>
  </si>
  <si>
    <t>Tiffany Lucas</t>
  </si>
  <si>
    <t>$38835</t>
  </si>
  <si>
    <t>Karen Garcia</t>
  </si>
  <si>
    <t>$11807</t>
  </si>
  <si>
    <t>Tracy Wagner</t>
  </si>
  <si>
    <t>$30997</t>
  </si>
  <si>
    <t>Kimberly Hudson</t>
  </si>
  <si>
    <t>$18807</t>
  </si>
  <si>
    <t>Walter Maldonado</t>
  </si>
  <si>
    <t>$30246</t>
  </si>
  <si>
    <t>Tyrone Doyle</t>
  </si>
  <si>
    <t>$1231</t>
  </si>
  <si>
    <t>Sherry Adams</t>
  </si>
  <si>
    <t>$10434</t>
  </si>
  <si>
    <t>Brooke Russell</t>
  </si>
  <si>
    <t>$4538</t>
  </si>
  <si>
    <t>Stephanie Boyd</t>
  </si>
  <si>
    <t>$10971</t>
  </si>
  <si>
    <t>Thomas Vega</t>
  </si>
  <si>
    <t>$16546</t>
  </si>
  <si>
    <t>Maria Lewis</t>
  </si>
  <si>
    <t>$2138</t>
  </si>
  <si>
    <t>Alexis Luna</t>
  </si>
  <si>
    <t>$20986</t>
  </si>
  <si>
    <t>Hannah Lynch</t>
  </si>
  <si>
    <t>$43574</t>
  </si>
  <si>
    <t>Todd Ortiz</t>
  </si>
  <si>
    <t>$19038</t>
  </si>
  <si>
    <t>Wanda Salazar</t>
  </si>
  <si>
    <t>$29949</t>
  </si>
  <si>
    <t>Margaret Patel</t>
  </si>
  <si>
    <t>$34019</t>
  </si>
  <si>
    <t>Kevin Morrow</t>
  </si>
  <si>
    <t>$36260</t>
  </si>
  <si>
    <t>Todd Lewis</t>
  </si>
  <si>
    <t>$16223</t>
  </si>
  <si>
    <t>Michael Hernandez</t>
  </si>
  <si>
    <t>$43749</t>
  </si>
  <si>
    <t>Allison Duran</t>
  </si>
  <si>
    <t>$44173</t>
  </si>
  <si>
    <t>Angela Freeman</t>
  </si>
  <si>
    <t>$34127</t>
  </si>
  <si>
    <t>Jessica Andrews</t>
  </si>
  <si>
    <t>$43000</t>
  </si>
  <si>
    <t>Jay Tate</t>
  </si>
  <si>
    <t>$1777</t>
  </si>
  <si>
    <t>Keith Davis</t>
  </si>
  <si>
    <t>$4119</t>
  </si>
  <si>
    <t>Dennis Simmons</t>
  </si>
  <si>
    <t>$37525</t>
  </si>
  <si>
    <t>Joshua Spencer</t>
  </si>
  <si>
    <t>$15314</t>
  </si>
  <si>
    <t>Ronnie Becker</t>
  </si>
  <si>
    <t>$28930</t>
  </si>
  <si>
    <t>Brittany Knight</t>
  </si>
  <si>
    <t>$1592</t>
  </si>
  <si>
    <t>Mrs. Tammy Ferguson</t>
  </si>
  <si>
    <t>$40612</t>
  </si>
  <si>
    <t>Daniel Flores</t>
  </si>
  <si>
    <t>$12763</t>
  </si>
  <si>
    <t>Jocelyn Adams</t>
  </si>
  <si>
    <t>$22509</t>
  </si>
  <si>
    <t>Ronald Lopez</t>
  </si>
  <si>
    <t>$20868</t>
  </si>
  <si>
    <t>Sarah Anderson</t>
  </si>
  <si>
    <t>$28254</t>
  </si>
  <si>
    <t>Bryan Gonzalez</t>
  </si>
  <si>
    <t>$47553</t>
  </si>
  <si>
    <t>Steven Knox</t>
  </si>
  <si>
    <t>$15580</t>
  </si>
  <si>
    <t>Anna Shepherd</t>
  </si>
  <si>
    <t>$36442</t>
  </si>
  <si>
    <t>Shawn Delgado DVM</t>
  </si>
  <si>
    <t>$24252</t>
  </si>
  <si>
    <t>Debra Nichols</t>
  </si>
  <si>
    <t>$39816</t>
  </si>
  <si>
    <t>Leslie Cruz</t>
  </si>
  <si>
    <t>$19598</t>
  </si>
  <si>
    <t>Tamara Ryan</t>
  </si>
  <si>
    <t>$2658</t>
  </si>
  <si>
    <t>Lisa Wallace</t>
  </si>
  <si>
    <t>$22742</t>
  </si>
  <si>
    <t>Judy Alvarado</t>
  </si>
  <si>
    <t>$16758</t>
  </si>
  <si>
    <t>William Jones</t>
  </si>
  <si>
    <t>$4842</t>
  </si>
  <si>
    <t>Timothy Lewis</t>
  </si>
  <si>
    <t>$28098</t>
  </si>
  <si>
    <t>Kristin Stewart</t>
  </si>
  <si>
    <t>Michael Gaines</t>
  </si>
  <si>
    <t>$10132</t>
  </si>
  <si>
    <t>Rebecca Turner</t>
  </si>
  <si>
    <t>$48131</t>
  </si>
  <si>
    <t>Kevin Johnson</t>
  </si>
  <si>
    <t>$23783</t>
  </si>
  <si>
    <t>Michelle Bowman</t>
  </si>
  <si>
    <t>$38134</t>
  </si>
  <si>
    <t>Michael Burch</t>
  </si>
  <si>
    <t>$29754</t>
  </si>
  <si>
    <t>Angel Gonzalez</t>
  </si>
  <si>
    <t>$35523</t>
  </si>
  <si>
    <t>Tammy Dunlap</t>
  </si>
  <si>
    <t>$39611</t>
  </si>
  <si>
    <t>John Ramirez</t>
  </si>
  <si>
    <t>$5976</t>
  </si>
  <si>
    <t>Peter Barron</t>
  </si>
  <si>
    <t>$19800</t>
  </si>
  <si>
    <t>Paige Davis</t>
  </si>
  <si>
    <t>$42087</t>
  </si>
  <si>
    <t>Thomas Miller</t>
  </si>
  <si>
    <t>$49229</t>
  </si>
  <si>
    <t>Miss Sara Hamilton</t>
  </si>
  <si>
    <t>$45151</t>
  </si>
  <si>
    <t>Brian Little</t>
  </si>
  <si>
    <t>$39729</t>
  </si>
  <si>
    <t>Charles White</t>
  </si>
  <si>
    <t>$11137</t>
  </si>
  <si>
    <t>Elizabeth Carrillo</t>
  </si>
  <si>
    <t>$14269</t>
  </si>
  <si>
    <t>Amber Garcia</t>
  </si>
  <si>
    <t>$4115</t>
  </si>
  <si>
    <t>Katherine Velazquez</t>
  </si>
  <si>
    <t>$28423</t>
  </si>
  <si>
    <t>Brian Barnes</t>
  </si>
  <si>
    <t>$15485</t>
  </si>
  <si>
    <t>Susan Osborne</t>
  </si>
  <si>
    <t>$8798</t>
  </si>
  <si>
    <t>Robin Owens</t>
  </si>
  <si>
    <t>$4850</t>
  </si>
  <si>
    <t>Mr. Erik Bennett</t>
  </si>
  <si>
    <t>$38304</t>
  </si>
  <si>
    <t>Sarah Whitney</t>
  </si>
  <si>
    <t>$32258</t>
  </si>
  <si>
    <t>Thomas Mitchell</t>
  </si>
  <si>
    <t>$25111</t>
  </si>
  <si>
    <t>Thomas Houston</t>
  </si>
  <si>
    <t>$3802</t>
  </si>
  <si>
    <t>Kathleen Jenkins DVM</t>
  </si>
  <si>
    <t>$30473</t>
  </si>
  <si>
    <t>Sara Gillespie</t>
  </si>
  <si>
    <t>$26345</t>
  </si>
  <si>
    <t>Jennifer Jones</t>
  </si>
  <si>
    <t>$49772</t>
  </si>
  <si>
    <t>James Gonzalez</t>
  </si>
  <si>
    <t>$33824</t>
  </si>
  <si>
    <t>Katherine George</t>
  </si>
  <si>
    <t>$10298</t>
  </si>
  <si>
    <t>Melissa Spence</t>
  </si>
  <si>
    <t>$8780</t>
  </si>
  <si>
    <t>Renee Thompson</t>
  </si>
  <si>
    <t>$14892</t>
  </si>
  <si>
    <t>David Hall</t>
  </si>
  <si>
    <t>$31546</t>
  </si>
  <si>
    <t>Patricia Herrera</t>
  </si>
  <si>
    <t>$25507</t>
  </si>
  <si>
    <t>Alan Sloan</t>
  </si>
  <si>
    <t>$48715</t>
  </si>
  <si>
    <t>Tami Robles</t>
  </si>
  <si>
    <t>$30359</t>
  </si>
  <si>
    <t>Edgar Hughes</t>
  </si>
  <si>
    <t>$14519</t>
  </si>
  <si>
    <t>Melissa Gonzalez</t>
  </si>
  <si>
    <t>$39963</t>
  </si>
  <si>
    <t>Joseph Gregory</t>
  </si>
  <si>
    <t>$14108</t>
  </si>
  <si>
    <t>Daniel Bray</t>
  </si>
  <si>
    <t>$42438</t>
  </si>
  <si>
    <t>Angela Gibson</t>
  </si>
  <si>
    <t>$12478</t>
  </si>
  <si>
    <t>Luke Moore</t>
  </si>
  <si>
    <t>$43294</t>
  </si>
  <si>
    <t>Darren Allen</t>
  </si>
  <si>
    <t>$41727</t>
  </si>
  <si>
    <t>Sarah Gallagher</t>
  </si>
  <si>
    <t>$18900</t>
  </si>
  <si>
    <t>Scott Chandler</t>
  </si>
  <si>
    <t>$33935</t>
  </si>
  <si>
    <t>Kathy Ward</t>
  </si>
  <si>
    <t>$29491</t>
  </si>
  <si>
    <t>Anthony Gutierrez</t>
  </si>
  <si>
    <t>$47958</t>
  </si>
  <si>
    <t>Sharon Weiss</t>
  </si>
  <si>
    <t>$39809</t>
  </si>
  <si>
    <t>Monica Brown</t>
  </si>
  <si>
    <t>$26564</t>
  </si>
  <si>
    <t>Stephanie Savage</t>
  </si>
  <si>
    <t>$28942</t>
  </si>
  <si>
    <t>Miguel Harrell</t>
  </si>
  <si>
    <t>$38415</t>
  </si>
  <si>
    <t>Carol Sullivan</t>
  </si>
  <si>
    <t>$37982</t>
  </si>
  <si>
    <t>Amanda Adams</t>
  </si>
  <si>
    <t>$28332</t>
  </si>
  <si>
    <t>Heather Shah</t>
  </si>
  <si>
    <t>$28078</t>
  </si>
  <si>
    <t>Michael Wright</t>
  </si>
  <si>
    <t>$1117</t>
  </si>
  <si>
    <t>Rachel Chavez</t>
  </si>
  <si>
    <t>$7812</t>
  </si>
  <si>
    <t>Alexander Moore</t>
  </si>
  <si>
    <t>Michael Scott</t>
  </si>
  <si>
    <t>$33441</t>
  </si>
  <si>
    <t>Miranda Price</t>
  </si>
  <si>
    <t>$6130</t>
  </si>
  <si>
    <t>Harold Sullivan</t>
  </si>
  <si>
    <t>$9186</t>
  </si>
  <si>
    <t>Renee Barton</t>
  </si>
  <si>
    <t>$41256</t>
  </si>
  <si>
    <t>Kevin Patterson</t>
  </si>
  <si>
    <t>$2350</t>
  </si>
  <si>
    <t>Philip Bennett</t>
  </si>
  <si>
    <t>$21861</t>
  </si>
  <si>
    <t>David Walker</t>
  </si>
  <si>
    <t>$37724</t>
  </si>
  <si>
    <t>Sara Hill</t>
  </si>
  <si>
    <t>$27570</t>
  </si>
  <si>
    <t>Ethan Lewis</t>
  </si>
  <si>
    <t>$18899</t>
  </si>
  <si>
    <t>Cassandra Marshall</t>
  </si>
  <si>
    <t>$23993</t>
  </si>
  <si>
    <t>$4075</t>
  </si>
  <si>
    <t>Brenda Rice</t>
  </si>
  <si>
    <t>Megan Ingram</t>
  </si>
  <si>
    <t>$13865</t>
  </si>
  <si>
    <t>Kevin Campbell</t>
  </si>
  <si>
    <t>$12836</t>
  </si>
  <si>
    <t>Kelly Green</t>
  </si>
  <si>
    <t>$32484</t>
  </si>
  <si>
    <t>Terri Hernandez</t>
  </si>
  <si>
    <t>$12594</t>
  </si>
  <si>
    <t>Morgan Kelly</t>
  </si>
  <si>
    <t>$35920</t>
  </si>
  <si>
    <t>Brenda Stewart</t>
  </si>
  <si>
    <t>$45080</t>
  </si>
  <si>
    <t>Patrick Hunt</t>
  </si>
  <si>
    <t>$7097</t>
  </si>
  <si>
    <t>Natalie Parks</t>
  </si>
  <si>
    <t>$32272</t>
  </si>
  <si>
    <t>Shirley Hawkins</t>
  </si>
  <si>
    <t>$41305</t>
  </si>
  <si>
    <t>John Serrano</t>
  </si>
  <si>
    <t>$6165</t>
  </si>
  <si>
    <t>Brian Young</t>
  </si>
  <si>
    <t>$3760</t>
  </si>
  <si>
    <t>Elizabeth Collins</t>
  </si>
  <si>
    <t>$1699</t>
  </si>
  <si>
    <t>Sabrina Campbell</t>
  </si>
  <si>
    <t>$47912</t>
  </si>
  <si>
    <t>Katrina Horn</t>
  </si>
  <si>
    <t>$33505</t>
  </si>
  <si>
    <t>Jennifer Oconnell</t>
  </si>
  <si>
    <t>$23360</t>
  </si>
  <si>
    <t>Jenny Cook</t>
  </si>
  <si>
    <t>$45836</t>
  </si>
  <si>
    <t>Hannah Wright</t>
  </si>
  <si>
    <t>$26663</t>
  </si>
  <si>
    <t>Michael Perkins</t>
  </si>
  <si>
    <t>$22700</t>
  </si>
  <si>
    <t>Scott Fowler</t>
  </si>
  <si>
    <t>$23054</t>
  </si>
  <si>
    <t>Julie Fisher</t>
  </si>
  <si>
    <t>$37393</t>
  </si>
  <si>
    <t>Troy Kennedy</t>
  </si>
  <si>
    <t>$11558</t>
  </si>
  <si>
    <t>Jill Howard</t>
  </si>
  <si>
    <t>$7855</t>
  </si>
  <si>
    <t>Miranda Jones</t>
  </si>
  <si>
    <t>$30566</t>
  </si>
  <si>
    <t>Jasmine Frank</t>
  </si>
  <si>
    <t>$23247</t>
  </si>
  <si>
    <t>Ashlee Macdonald</t>
  </si>
  <si>
    <t>$18665</t>
  </si>
  <si>
    <t>Lori Maldonado</t>
  </si>
  <si>
    <t>$8735</t>
  </si>
  <si>
    <t>Kristy Taylor</t>
  </si>
  <si>
    <t>Hunter Nguyen</t>
  </si>
  <si>
    <t>$33093</t>
  </si>
  <si>
    <t>Zachary Dyer</t>
  </si>
  <si>
    <t>$12727</t>
  </si>
  <si>
    <t>James Lee</t>
  </si>
  <si>
    <t>$26479</t>
  </si>
  <si>
    <t>Phillip Adkins</t>
  </si>
  <si>
    <t>$28345</t>
  </si>
  <si>
    <t>Roger Larsen</t>
  </si>
  <si>
    <t>$16791</t>
  </si>
  <si>
    <t>Rebecca Vargas</t>
  </si>
  <si>
    <t>$1788</t>
  </si>
  <si>
    <t>Karen Kent</t>
  </si>
  <si>
    <t>$42076</t>
  </si>
  <si>
    <t>Heather Dawson</t>
  </si>
  <si>
    <t>$42637</t>
  </si>
  <si>
    <t>Carrie Reese</t>
  </si>
  <si>
    <t>$5918</t>
  </si>
  <si>
    <t>Kevin Parker</t>
  </si>
  <si>
    <t>$7096</t>
  </si>
  <si>
    <t>Christina Miller</t>
  </si>
  <si>
    <t>$14676</t>
  </si>
  <si>
    <t>John Cruz</t>
  </si>
  <si>
    <t>$28337</t>
  </si>
  <si>
    <t>Tommy Wise</t>
  </si>
  <si>
    <t>$34565</t>
  </si>
  <si>
    <t>James Gutierrez</t>
  </si>
  <si>
    <t>$9190</t>
  </si>
  <si>
    <t>Jill Mitchell</t>
  </si>
  <si>
    <t>$21505</t>
  </si>
  <si>
    <t>Katherine Glover</t>
  </si>
  <si>
    <t>$5404</t>
  </si>
  <si>
    <t>Christopher Adams</t>
  </si>
  <si>
    <t>$49043</t>
  </si>
  <si>
    <t>Katrina Reid</t>
  </si>
  <si>
    <t>$40962</t>
  </si>
  <si>
    <t>Luis Wood</t>
  </si>
  <si>
    <t>$17536</t>
  </si>
  <si>
    <t>Robert Greer</t>
  </si>
  <si>
    <t>$14813</t>
  </si>
  <si>
    <t>Michele Nguyen</t>
  </si>
  <si>
    <t>$44230</t>
  </si>
  <si>
    <t>Tiffany Lewis</t>
  </si>
  <si>
    <t>$46351</t>
  </si>
  <si>
    <t>Charles Ellis</t>
  </si>
  <si>
    <t>$28088</t>
  </si>
  <si>
    <t>Alexander Underwood</t>
  </si>
  <si>
    <t>$33627</t>
  </si>
  <si>
    <t>Arthur Henry</t>
  </si>
  <si>
    <t>$38824</t>
  </si>
  <si>
    <t>Dawn Le</t>
  </si>
  <si>
    <t>$3089</t>
  </si>
  <si>
    <t>Nicholas Caldwell</t>
  </si>
  <si>
    <t>$24517</t>
  </si>
  <si>
    <t>Kelly Parker</t>
  </si>
  <si>
    <t>$25578</t>
  </si>
  <si>
    <t>Noah Davis</t>
  </si>
  <si>
    <t>$19299</t>
  </si>
  <si>
    <t>Joshua Villa</t>
  </si>
  <si>
    <t>$35974</t>
  </si>
  <si>
    <t>Bonnie Mason</t>
  </si>
  <si>
    <t>$1598</t>
  </si>
  <si>
    <t>Lorraine Gibson</t>
  </si>
  <si>
    <t>$46460</t>
  </si>
  <si>
    <t>Kimberly Lopez</t>
  </si>
  <si>
    <t>$7773</t>
  </si>
  <si>
    <t>Lisa Burgess</t>
  </si>
  <si>
    <t>$18211</t>
  </si>
  <si>
    <t>Teresa Waters</t>
  </si>
  <si>
    <t>$24007</t>
  </si>
  <si>
    <t>Gary Foster</t>
  </si>
  <si>
    <t>$19627</t>
  </si>
  <si>
    <t>Cassandra Allen</t>
  </si>
  <si>
    <t>$32636</t>
  </si>
  <si>
    <t>Bryan Erickson</t>
  </si>
  <si>
    <t>$42665</t>
  </si>
  <si>
    <t>Claire Henry</t>
  </si>
  <si>
    <t>$41272</t>
  </si>
  <si>
    <t>Courtney Shelton</t>
  </si>
  <si>
    <t>$41888</t>
  </si>
  <si>
    <t>Danny Acevedo</t>
  </si>
  <si>
    <t>$11455</t>
  </si>
  <si>
    <t>Brian Henry</t>
  </si>
  <si>
    <t>$5947</t>
  </si>
  <si>
    <t>Patricia Robertson</t>
  </si>
  <si>
    <t>$42968</t>
  </si>
  <si>
    <t>Jason Hernandez</t>
  </si>
  <si>
    <t>$1233</t>
  </si>
  <si>
    <t>Sabrina Villa</t>
  </si>
  <si>
    <t>$48490</t>
  </si>
  <si>
    <t>Robert Scott</t>
  </si>
  <si>
    <t>$45203</t>
  </si>
  <si>
    <t>Jeffrey Moore</t>
  </si>
  <si>
    <t>$38948</t>
  </si>
  <si>
    <t>Gregory Krause</t>
  </si>
  <si>
    <t>$22125</t>
  </si>
  <si>
    <t>Daniel Adkins</t>
  </si>
  <si>
    <t>$3341</t>
  </si>
  <si>
    <t>Donna Gardner</t>
  </si>
  <si>
    <t>$30721</t>
  </si>
  <si>
    <t>Eric Boyd</t>
  </si>
  <si>
    <t>$44406</t>
  </si>
  <si>
    <t>Sabrina Barnett MD</t>
  </si>
  <si>
    <t>$29359</t>
  </si>
  <si>
    <t>Richard Matthews</t>
  </si>
  <si>
    <t>$43230</t>
  </si>
  <si>
    <t>Christine Garcia</t>
  </si>
  <si>
    <t>$44423</t>
  </si>
  <si>
    <t>Robert Becker</t>
  </si>
  <si>
    <t>$45926</t>
  </si>
  <si>
    <t>Kimberly Hill</t>
  </si>
  <si>
    <t>$15706</t>
  </si>
  <si>
    <t>Samuel Mullen</t>
  </si>
  <si>
    <t>$28766</t>
  </si>
  <si>
    <t>Michael Romero</t>
  </si>
  <si>
    <t>$29230</t>
  </si>
  <si>
    <t>Travis Mason</t>
  </si>
  <si>
    <t>$10654</t>
  </si>
  <si>
    <t>Aaron Miles</t>
  </si>
  <si>
    <t>$13939</t>
  </si>
  <si>
    <t>Bryan Porter</t>
  </si>
  <si>
    <t>$29077</t>
  </si>
  <si>
    <t>Cynthia Ross</t>
  </si>
  <si>
    <t>$35744</t>
  </si>
  <si>
    <t>Cynthia Aguirre</t>
  </si>
  <si>
    <t>$22592</t>
  </si>
  <si>
    <t>Daniel Phillips</t>
  </si>
  <si>
    <t>$22730</t>
  </si>
  <si>
    <t>Patrick Martinez</t>
  </si>
  <si>
    <t>$7696</t>
  </si>
  <si>
    <t>Suzanne Hernandez</t>
  </si>
  <si>
    <t>$30159</t>
  </si>
  <si>
    <t>Matthew Glover</t>
  </si>
  <si>
    <t>$31641</t>
  </si>
  <si>
    <t>Timothy Ruiz</t>
  </si>
  <si>
    <t>$45896</t>
  </si>
  <si>
    <t>Savannah Howard</t>
  </si>
  <si>
    <t>$15290</t>
  </si>
  <si>
    <t>Gregory Henry</t>
  </si>
  <si>
    <t>$2653</t>
  </si>
  <si>
    <t>Amanda Underwood</t>
  </si>
  <si>
    <t>$48316</t>
  </si>
  <si>
    <t>Yvette Miller</t>
  </si>
  <si>
    <t>$3737</t>
  </si>
  <si>
    <t>Robert Valencia</t>
  </si>
  <si>
    <t>$30409</t>
  </si>
  <si>
    <t>Robert Lucas</t>
  </si>
  <si>
    <t>$8357</t>
  </si>
  <si>
    <t>Joshua Ferguson</t>
  </si>
  <si>
    <t>$25492</t>
  </si>
  <si>
    <t>Amy Davis</t>
  </si>
  <si>
    <t>$22964</t>
  </si>
  <si>
    <t>Miguel Shah</t>
  </si>
  <si>
    <t>$11656</t>
  </si>
  <si>
    <t>Matthew Thomas</t>
  </si>
  <si>
    <t>$3690</t>
  </si>
  <si>
    <t>Jeffrey Woods</t>
  </si>
  <si>
    <t>$5308</t>
  </si>
  <si>
    <t>Lori Jones MD</t>
  </si>
  <si>
    <t>$21947</t>
  </si>
  <si>
    <t>Nicole Russell</t>
  </si>
  <si>
    <t>$20706</t>
  </si>
  <si>
    <t>Raymond Perez</t>
  </si>
  <si>
    <t>$9959</t>
  </si>
  <si>
    <t>Timothy Porter</t>
  </si>
  <si>
    <t>$23476</t>
  </si>
  <si>
    <t>Jose Dunn</t>
  </si>
  <si>
    <t>$35390</t>
  </si>
  <si>
    <t>Katelyn Fields</t>
  </si>
  <si>
    <t>$3153</t>
  </si>
  <si>
    <t>Joshua Black</t>
  </si>
  <si>
    <t>Travis Carrillo</t>
  </si>
  <si>
    <t>$31617</t>
  </si>
  <si>
    <t>Lisa Cobb</t>
  </si>
  <si>
    <t>$42692</t>
  </si>
  <si>
    <t>Lisa Berry</t>
  </si>
  <si>
    <t>$35394</t>
  </si>
  <si>
    <t>Ernest Mcgrath</t>
  </si>
  <si>
    <t>$26804</t>
  </si>
  <si>
    <t>Jeffrey Simpson</t>
  </si>
  <si>
    <t>$7106</t>
  </si>
  <si>
    <t>Richard Vasquez</t>
  </si>
  <si>
    <t>$30194</t>
  </si>
  <si>
    <t>Travis Floyd</t>
  </si>
  <si>
    <t>$22974</t>
  </si>
  <si>
    <t>Brandon Williams</t>
  </si>
  <si>
    <t>$14793</t>
  </si>
  <si>
    <t>Mary Garcia</t>
  </si>
  <si>
    <t>$11743</t>
  </si>
  <si>
    <t>Susan Donaldson</t>
  </si>
  <si>
    <t>$11932</t>
  </si>
  <si>
    <t>Richard Johnson</t>
  </si>
  <si>
    <t>$48095</t>
  </si>
  <si>
    <t>Jermaine Lowe</t>
  </si>
  <si>
    <t>$30188</t>
  </si>
  <si>
    <t>Amanda Anderson</t>
  </si>
  <si>
    <t>$1499</t>
  </si>
  <si>
    <t>Tammy Nguyen</t>
  </si>
  <si>
    <t>$13155</t>
  </si>
  <si>
    <t>James Sanders</t>
  </si>
  <si>
    <t>$12327</t>
  </si>
  <si>
    <t>Timothy Diaz</t>
  </si>
  <si>
    <t>$2668</t>
  </si>
  <si>
    <t>Trevor Keith</t>
  </si>
  <si>
    <t>$41269</t>
  </si>
  <si>
    <t>Charles Rice</t>
  </si>
  <si>
    <t>$26648</t>
  </si>
  <si>
    <t>Melissa Ramos</t>
  </si>
  <si>
    <t>$47763</t>
  </si>
  <si>
    <t>Christopher Stephenson</t>
  </si>
  <si>
    <t>$22865</t>
  </si>
  <si>
    <t>Robert Hale</t>
  </si>
  <si>
    <t>$6810</t>
  </si>
  <si>
    <t>Brian Raymond</t>
  </si>
  <si>
    <t>$15232</t>
  </si>
  <si>
    <t>Monica Jones</t>
  </si>
  <si>
    <t>$28963</t>
  </si>
  <si>
    <t>Nichole Orozco</t>
  </si>
  <si>
    <t>$10918</t>
  </si>
  <si>
    <t>Paige Myers</t>
  </si>
  <si>
    <t>$15335</t>
  </si>
  <si>
    <t>Steve Ford</t>
  </si>
  <si>
    <t>$29393</t>
  </si>
  <si>
    <t>Patricia Wilson</t>
  </si>
  <si>
    <t>$48696</t>
  </si>
  <si>
    <t>Jennifer Clark</t>
  </si>
  <si>
    <t>$17664</t>
  </si>
  <si>
    <t>Andrew Lang</t>
  </si>
  <si>
    <t>$10114</t>
  </si>
  <si>
    <t>Catherine Ochoa</t>
  </si>
  <si>
    <t>$49691</t>
  </si>
  <si>
    <t>Kenneth Jones</t>
  </si>
  <si>
    <t>$12202</t>
  </si>
  <si>
    <t>Nicole Warner</t>
  </si>
  <si>
    <t>$39296</t>
  </si>
  <si>
    <t>Richard Benton</t>
  </si>
  <si>
    <t>$24977</t>
  </si>
  <si>
    <t>Eric Williams</t>
  </si>
  <si>
    <t>$3422</t>
  </si>
  <si>
    <t>Jacqueline Jones</t>
  </si>
  <si>
    <t>$40096</t>
  </si>
  <si>
    <t>Kelly Wolf</t>
  </si>
  <si>
    <t>$49748</t>
  </si>
  <si>
    <t>Colin Watson</t>
  </si>
  <si>
    <t>$42746</t>
  </si>
  <si>
    <t>Melissa Fisher</t>
  </si>
  <si>
    <t>$31902</t>
  </si>
  <si>
    <t>Andrea Reese</t>
  </si>
  <si>
    <t>$14925</t>
  </si>
  <si>
    <t>Cory Mason</t>
  </si>
  <si>
    <t>$49285</t>
  </si>
  <si>
    <t>Nathaniel Williams</t>
  </si>
  <si>
    <t>$27122</t>
  </si>
  <si>
    <t>Kara Martin</t>
  </si>
  <si>
    <t>$9065</t>
  </si>
  <si>
    <t>Mr. Todd Miller</t>
  </si>
  <si>
    <t>$38483</t>
  </si>
  <si>
    <t>Paul Brown</t>
  </si>
  <si>
    <t>$35271</t>
  </si>
  <si>
    <t>Megan Graves</t>
  </si>
  <si>
    <t>$27833</t>
  </si>
  <si>
    <t>Tammy Ford</t>
  </si>
  <si>
    <t>$13450</t>
  </si>
  <si>
    <t>Shannon Rodriguez</t>
  </si>
  <si>
    <t>$34258</t>
  </si>
  <si>
    <t>Robert Gomez</t>
  </si>
  <si>
    <t>$6288</t>
  </si>
  <si>
    <t>Joshua Owens</t>
  </si>
  <si>
    <t>$16995</t>
  </si>
  <si>
    <t>Rebecca Armstrong</t>
  </si>
  <si>
    <t>$48959</t>
  </si>
  <si>
    <t>Anthony Zimmerman</t>
  </si>
  <si>
    <t>$36009</t>
  </si>
  <si>
    <t>Travis Norton</t>
  </si>
  <si>
    <t>$7692</t>
  </si>
  <si>
    <t>Andrew Hernandez</t>
  </si>
  <si>
    <t>$37875</t>
  </si>
  <si>
    <t>Lindsay Obrien</t>
  </si>
  <si>
    <t>$37464</t>
  </si>
  <si>
    <t>Monica Ruiz MD</t>
  </si>
  <si>
    <t>$27188</t>
  </si>
  <si>
    <t>Courtney Day</t>
  </si>
  <si>
    <t>$2969</t>
  </si>
  <si>
    <t>Paul Gray</t>
  </si>
  <si>
    <t>$43091</t>
  </si>
  <si>
    <t>Wayne Roy</t>
  </si>
  <si>
    <t>$22675</t>
  </si>
  <si>
    <t>Dr. Alexis Cochran</t>
  </si>
  <si>
    <t>$41328</t>
  </si>
  <si>
    <t>Crystal Goodman</t>
  </si>
  <si>
    <t>$27895</t>
  </si>
  <si>
    <t>Kimberly Sutton</t>
  </si>
  <si>
    <t>$17762</t>
  </si>
  <si>
    <t>Rhonda Williams</t>
  </si>
  <si>
    <t>$1367</t>
  </si>
  <si>
    <t>Danielle Chen</t>
  </si>
  <si>
    <t>$23237</t>
  </si>
  <si>
    <t>Patrick Miller</t>
  </si>
  <si>
    <t>$17373</t>
  </si>
  <si>
    <t>Joyce Adams</t>
  </si>
  <si>
    <t>$49986</t>
  </si>
  <si>
    <t>Ian Rangel</t>
  </si>
  <si>
    <t>$35133</t>
  </si>
  <si>
    <t>Justin Montgomery</t>
  </si>
  <si>
    <t>$37823</t>
  </si>
  <si>
    <t>Jimmy Cox</t>
  </si>
  <si>
    <t>$45903</t>
  </si>
  <si>
    <t>Jade Collins</t>
  </si>
  <si>
    <t>$24056</t>
  </si>
  <si>
    <t>Brittany Bradford</t>
  </si>
  <si>
    <t>$14104</t>
  </si>
  <si>
    <t>David Oconnor</t>
  </si>
  <si>
    <t>$21572</t>
  </si>
  <si>
    <t>Deanna Becker</t>
  </si>
  <si>
    <t>$3487</t>
  </si>
  <si>
    <t>David Ryan</t>
  </si>
  <si>
    <t>$3858</t>
  </si>
  <si>
    <t>Curtis Khan</t>
  </si>
  <si>
    <t>$39240</t>
  </si>
  <si>
    <t>Dr. Mary Alexander</t>
  </si>
  <si>
    <t>$38068</t>
  </si>
  <si>
    <t>Monique Cruz</t>
  </si>
  <si>
    <t>$13438</t>
  </si>
  <si>
    <t>Victoria Powell</t>
  </si>
  <si>
    <t>$28350</t>
  </si>
  <si>
    <t>Stephen Becker</t>
  </si>
  <si>
    <t>$28072</t>
  </si>
  <si>
    <t>Kirsten Dillon</t>
  </si>
  <si>
    <t>$29529</t>
  </si>
  <si>
    <t>Victoria Miller</t>
  </si>
  <si>
    <t>$26712</t>
  </si>
  <si>
    <t>Jordan Guzman</t>
  </si>
  <si>
    <t>$23635</t>
  </si>
  <si>
    <t>Julia Rivera MD</t>
  </si>
  <si>
    <t>$40658</t>
  </si>
  <si>
    <t>Joseph Harris</t>
  </si>
  <si>
    <t>$30681</t>
  </si>
  <si>
    <t>Michael Saunders</t>
  </si>
  <si>
    <t>$40381</t>
  </si>
  <si>
    <t>Kimberly Rice</t>
  </si>
  <si>
    <t>$28594</t>
  </si>
  <si>
    <t>Daniel Alexander</t>
  </si>
  <si>
    <t>$44778</t>
  </si>
  <si>
    <t>Alicia Castillo</t>
  </si>
  <si>
    <t>$14853</t>
  </si>
  <si>
    <t>Anna Odonnell</t>
  </si>
  <si>
    <t>$29645</t>
  </si>
  <si>
    <t>Gabriel Lowe</t>
  </si>
  <si>
    <t>$43589</t>
  </si>
  <si>
    <t>Brent Kemp</t>
  </si>
  <si>
    <t>$2979</t>
  </si>
  <si>
    <t>Susan Owens</t>
  </si>
  <si>
    <t>$4688</t>
  </si>
  <si>
    <t>Anthony Jenkins</t>
  </si>
  <si>
    <t>$24534</t>
  </si>
  <si>
    <t>Robin Coleman</t>
  </si>
  <si>
    <t>$23684</t>
  </si>
  <si>
    <t>Thomas Collins</t>
  </si>
  <si>
    <t>$19968</t>
  </si>
  <si>
    <t>Brittany Williams</t>
  </si>
  <si>
    <t>$23292</t>
  </si>
  <si>
    <t>Luis George</t>
  </si>
  <si>
    <t>$13102</t>
  </si>
  <si>
    <t>James Edwards</t>
  </si>
  <si>
    <t>$24617</t>
  </si>
  <si>
    <t>Mary Jones</t>
  </si>
  <si>
    <t>$10837</t>
  </si>
  <si>
    <t>Jennifer Martinez</t>
  </si>
  <si>
    <t>$29008</t>
  </si>
  <si>
    <t>James White</t>
  </si>
  <si>
    <t>Cindy White</t>
  </si>
  <si>
    <t>$9255</t>
  </si>
  <si>
    <t>Paul Schmidt</t>
  </si>
  <si>
    <t>$3828</t>
  </si>
  <si>
    <t>Sherry Higgins</t>
  </si>
  <si>
    <t>$46219</t>
  </si>
  <si>
    <t>Shannon French</t>
  </si>
  <si>
    <t>$37678</t>
  </si>
  <si>
    <t>Jennifer Gonzales</t>
  </si>
  <si>
    <t>$35389</t>
  </si>
  <si>
    <t>Thomas Davis</t>
  </si>
  <si>
    <t>$11533</t>
  </si>
  <si>
    <t>Joseph Moore</t>
  </si>
  <si>
    <t>$37206</t>
  </si>
  <si>
    <t>Jerry Hanson</t>
  </si>
  <si>
    <t>$6442</t>
  </si>
  <si>
    <t>Jennifer Tucker</t>
  </si>
  <si>
    <t>$47317</t>
  </si>
  <si>
    <t>Amanda Garcia</t>
  </si>
  <si>
    <t>$17927</t>
  </si>
  <si>
    <t>Jessica Kelly</t>
  </si>
  <si>
    <t>$49452</t>
  </si>
  <si>
    <t>James Fuller</t>
  </si>
  <si>
    <t>$37493</t>
  </si>
  <si>
    <t>Maria Proctor</t>
  </si>
  <si>
    <t>$37610</t>
  </si>
  <si>
    <t>John Fowler</t>
  </si>
  <si>
    <t>$3735</t>
  </si>
  <si>
    <t>Jason Nelson</t>
  </si>
  <si>
    <t>$43198</t>
  </si>
  <si>
    <t>Marvin Wu</t>
  </si>
  <si>
    <t>$24265</t>
  </si>
  <si>
    <t>Emily Singleton</t>
  </si>
  <si>
    <t>Colin Lee</t>
  </si>
  <si>
    <t>$12997</t>
  </si>
  <si>
    <t>Mathew Johnson</t>
  </si>
  <si>
    <t>$25162</t>
  </si>
  <si>
    <t>Christopher Ramirez</t>
  </si>
  <si>
    <t>$31985</t>
  </si>
  <si>
    <t>Samuel Ortiz</t>
  </si>
  <si>
    <t>$24924</t>
  </si>
  <si>
    <t>Megan Reese</t>
  </si>
  <si>
    <t>$35184</t>
  </si>
  <si>
    <t>Rachel White</t>
  </si>
  <si>
    <t>$7349</t>
  </si>
  <si>
    <t>Michael Mclaughlin</t>
  </si>
  <si>
    <t>$41330</t>
  </si>
  <si>
    <t>Paul Gibson</t>
  </si>
  <si>
    <t>$5212</t>
  </si>
  <si>
    <t>Timothy Sanchez</t>
  </si>
  <si>
    <t>$15537</t>
  </si>
  <si>
    <t>Lori Smith</t>
  </si>
  <si>
    <t>$15777</t>
  </si>
  <si>
    <t>Julie Carpenter</t>
  </si>
  <si>
    <t>$32819</t>
  </si>
  <si>
    <t>Barbara Baldwin</t>
  </si>
  <si>
    <t>$41566</t>
  </si>
  <si>
    <t>Jason Brooks</t>
  </si>
  <si>
    <t>$42268</t>
  </si>
  <si>
    <t>Linda Brown</t>
  </si>
  <si>
    <t>$28361</t>
  </si>
  <si>
    <t>Ernest Moyer</t>
  </si>
  <si>
    <t>$43524</t>
  </si>
  <si>
    <t>Melissa Rodriguez</t>
  </si>
  <si>
    <t>$42567</t>
  </si>
  <si>
    <t>Austin Bowen</t>
  </si>
  <si>
    <t>$11577</t>
  </si>
  <si>
    <t>Nicholas French</t>
  </si>
  <si>
    <t>$21763</t>
  </si>
  <si>
    <t>Lauren Jones</t>
  </si>
  <si>
    <t>$36872</t>
  </si>
  <si>
    <t>Sean Butler</t>
  </si>
  <si>
    <t>$29505</t>
  </si>
  <si>
    <t>Michael Wiley</t>
  </si>
  <si>
    <t>$3961</t>
  </si>
  <si>
    <t>James Lara</t>
  </si>
  <si>
    <t>$9822</t>
  </si>
  <si>
    <t>Jessica Miller</t>
  </si>
  <si>
    <t>Alvin Rios</t>
  </si>
  <si>
    <t>$18160</t>
  </si>
  <si>
    <t>James Goodman</t>
  </si>
  <si>
    <t>$45168</t>
  </si>
  <si>
    <t>Erica Adams</t>
  </si>
  <si>
    <t>$19837</t>
  </si>
  <si>
    <t>Amy Cruz</t>
  </si>
  <si>
    <t>$16306</t>
  </si>
  <si>
    <t>Michael Clark</t>
  </si>
  <si>
    <t>$28974</t>
  </si>
  <si>
    <t>Joyce Lopez</t>
  </si>
  <si>
    <t>$28539</t>
  </si>
  <si>
    <t>Keith Allen</t>
  </si>
  <si>
    <t>$40609</t>
  </si>
  <si>
    <t>Paige Watkins</t>
  </si>
  <si>
    <t>$38392</t>
  </si>
  <si>
    <t>Matthew Jones</t>
  </si>
  <si>
    <t>$38994</t>
  </si>
  <si>
    <t>Taylor Williams</t>
  </si>
  <si>
    <t>$18147</t>
  </si>
  <si>
    <t>Diane Beltran</t>
  </si>
  <si>
    <t>$8312</t>
  </si>
  <si>
    <t>Paul Espinoza</t>
  </si>
  <si>
    <t>$29324</t>
  </si>
  <si>
    <t>Laurie Price</t>
  </si>
  <si>
    <t>$22816</t>
  </si>
  <si>
    <t>John Thompson</t>
  </si>
  <si>
    <t>$4782</t>
  </si>
  <si>
    <t>Kara Dixon</t>
  </si>
  <si>
    <t>$3639</t>
  </si>
  <si>
    <t>Jamie Jones</t>
  </si>
  <si>
    <t>$16495</t>
  </si>
  <si>
    <t>Alisha Johnson</t>
  </si>
  <si>
    <t>$47213</t>
  </si>
  <si>
    <t>Taylor Villa</t>
  </si>
  <si>
    <t>$27514</t>
  </si>
  <si>
    <t>Wesley Rodriguez</t>
  </si>
  <si>
    <t>$22233</t>
  </si>
  <si>
    <t>Lisa Cisneros</t>
  </si>
  <si>
    <t>$17518</t>
  </si>
  <si>
    <t>Michael Lawson</t>
  </si>
  <si>
    <t>$5964</t>
  </si>
  <si>
    <t>Christopher Huang</t>
  </si>
  <si>
    <t>$33901</t>
  </si>
  <si>
    <t>Hector Silva</t>
  </si>
  <si>
    <t>$9819</t>
  </si>
  <si>
    <t>Mindy Garcia</t>
  </si>
  <si>
    <t>$34947</t>
  </si>
  <si>
    <t>Timothy Gray</t>
  </si>
  <si>
    <t>$43643</t>
  </si>
  <si>
    <t>Paul Gilbert</t>
  </si>
  <si>
    <t>$38320</t>
  </si>
  <si>
    <t>Raymond Diaz</t>
  </si>
  <si>
    <t>$13397</t>
  </si>
  <si>
    <t>Kenneth Mack</t>
  </si>
  <si>
    <t>$3071</t>
  </si>
  <si>
    <t>Michelle Ellis</t>
  </si>
  <si>
    <t>$27219</t>
  </si>
  <si>
    <t>Steven Lewis</t>
  </si>
  <si>
    <t>$39898</t>
  </si>
  <si>
    <t>Wendy Baker</t>
  </si>
  <si>
    <t>$17817</t>
  </si>
  <si>
    <t>Elizabeth Weber</t>
  </si>
  <si>
    <t>$3572</t>
  </si>
  <si>
    <t>Mark Gilbert</t>
  </si>
  <si>
    <t>$43213</t>
  </si>
  <si>
    <t>Craig Reyes</t>
  </si>
  <si>
    <t>$40843</t>
  </si>
  <si>
    <t>Linda Miller</t>
  </si>
  <si>
    <t>$18094</t>
  </si>
  <si>
    <t>Michael Pena</t>
  </si>
  <si>
    <t>$30785</t>
  </si>
  <si>
    <t>Dr. Guy Mcguire</t>
  </si>
  <si>
    <t>$32408</t>
  </si>
  <si>
    <t>James Glenn</t>
  </si>
  <si>
    <t>$4285</t>
  </si>
  <si>
    <t>Susan Holloway</t>
  </si>
  <si>
    <t>$39307</t>
  </si>
  <si>
    <t>Isaac Moore</t>
  </si>
  <si>
    <t>$38388</t>
  </si>
  <si>
    <t>Alison Santos DDS</t>
  </si>
  <si>
    <t>$27581</t>
  </si>
  <si>
    <t>$12117</t>
  </si>
  <si>
    <t>Natasha Murray</t>
  </si>
  <si>
    <t>$2928</t>
  </si>
  <si>
    <t>David Lee</t>
  </si>
  <si>
    <t>$35619</t>
  </si>
  <si>
    <t>Miss Debbie Willis</t>
  </si>
  <si>
    <t>$21030</t>
  </si>
  <si>
    <t>Briana Henry</t>
  </si>
  <si>
    <t>$40997</t>
  </si>
  <si>
    <t>Jennifer Marsh</t>
  </si>
  <si>
    <t>$22662</t>
  </si>
  <si>
    <t>Rachel Weaver</t>
  </si>
  <si>
    <t>$42700</t>
  </si>
  <si>
    <t>Michael Hodges</t>
  </si>
  <si>
    <t>$28115</t>
  </si>
  <si>
    <t>James Taylor</t>
  </si>
  <si>
    <t>$2564</t>
  </si>
  <si>
    <t>Ms. Jamie Nunez DVM</t>
  </si>
  <si>
    <t>$22796</t>
  </si>
  <si>
    <t>Catherine Li</t>
  </si>
  <si>
    <t>$30821</t>
  </si>
  <si>
    <t>Lauren Taylor</t>
  </si>
  <si>
    <t>$41761</t>
  </si>
  <si>
    <t>Daniel Moore</t>
  </si>
  <si>
    <t>$22547</t>
  </si>
  <si>
    <t>Joseph Blair</t>
  </si>
  <si>
    <t>$28938</t>
  </si>
  <si>
    <t>William Foley</t>
  </si>
  <si>
    <t>$44347</t>
  </si>
  <si>
    <t>Alexis Davis</t>
  </si>
  <si>
    <t>$22714</t>
  </si>
  <si>
    <t>Nathan Contreras</t>
  </si>
  <si>
    <t>$6484</t>
  </si>
  <si>
    <t>Wendy Finley</t>
  </si>
  <si>
    <t>$27371</t>
  </si>
  <si>
    <t>Vanessa Wood</t>
  </si>
  <si>
    <t>$1534</t>
  </si>
  <si>
    <t>Laurie Gonzalez</t>
  </si>
  <si>
    <t>$9353</t>
  </si>
  <si>
    <t>Natalie Evans</t>
  </si>
  <si>
    <t>$31302</t>
  </si>
  <si>
    <t>Marissa Adams</t>
  </si>
  <si>
    <t>$49778</t>
  </si>
  <si>
    <t>Michael Mosley</t>
  </si>
  <si>
    <t>$41599</t>
  </si>
  <si>
    <t>Michael Knight</t>
  </si>
  <si>
    <t>$38634</t>
  </si>
  <si>
    <t>Ashley Johnson</t>
  </si>
  <si>
    <t>$40534</t>
  </si>
  <si>
    <t>Christopher Clayton</t>
  </si>
  <si>
    <t>$36377</t>
  </si>
  <si>
    <t>Tara Harris</t>
  </si>
  <si>
    <t>$30863</t>
  </si>
  <si>
    <t>Roberto Bryant</t>
  </si>
  <si>
    <t>$43247</t>
  </si>
  <si>
    <t>Janet Fritz</t>
  </si>
  <si>
    <t>$21795</t>
  </si>
  <si>
    <t>Elizabeth Melendez</t>
  </si>
  <si>
    <t>$15841</t>
  </si>
  <si>
    <t>William Baker</t>
  </si>
  <si>
    <t>$18265</t>
  </si>
  <si>
    <t>Eugene Mccarthy MD</t>
  </si>
  <si>
    <t>$10342</t>
  </si>
  <si>
    <t>Richard Day</t>
  </si>
  <si>
    <t>$45058</t>
  </si>
  <si>
    <t>Michael Freeman</t>
  </si>
  <si>
    <t>$48538</t>
  </si>
  <si>
    <t>Dale Wright</t>
  </si>
  <si>
    <t>$6205</t>
  </si>
  <si>
    <t>Stephanie Gutierrez</t>
  </si>
  <si>
    <t>$10109</t>
  </si>
  <si>
    <t>Vincent Espinoza</t>
  </si>
  <si>
    <t>$37726</t>
  </si>
  <si>
    <t>Allen Cortez</t>
  </si>
  <si>
    <t>$11276</t>
  </si>
  <si>
    <t>Thomas Camacho</t>
  </si>
  <si>
    <t>$33794</t>
  </si>
  <si>
    <t>James Ryan</t>
  </si>
  <si>
    <t>$40903</t>
  </si>
  <si>
    <t>Javier Gonzales DDS</t>
  </si>
  <si>
    <t>$27260</t>
  </si>
  <si>
    <t>Jessica Turner</t>
  </si>
  <si>
    <t>$19199</t>
  </si>
  <si>
    <t>James Sanchez</t>
  </si>
  <si>
    <t>$17111</t>
  </si>
  <si>
    <t>Christy Morgan</t>
  </si>
  <si>
    <t>$39012</t>
  </si>
  <si>
    <t>Lauren Gutierrez</t>
  </si>
  <si>
    <t>$17741</t>
  </si>
  <si>
    <t>Jerry Fry</t>
  </si>
  <si>
    <t>$29112</t>
  </si>
  <si>
    <t>Lisa Powell</t>
  </si>
  <si>
    <t>$47839</t>
  </si>
  <si>
    <t>Gregory Wright</t>
  </si>
  <si>
    <t>$16139</t>
  </si>
  <si>
    <t>Kenneth Torres</t>
  </si>
  <si>
    <t>$33103</t>
  </si>
  <si>
    <t>Kathy Garza</t>
  </si>
  <si>
    <t>$44121</t>
  </si>
  <si>
    <t>Ryan Taylor</t>
  </si>
  <si>
    <t>$10346</t>
  </si>
  <si>
    <t>Brenda Martin</t>
  </si>
  <si>
    <t>$28043</t>
  </si>
  <si>
    <t>Robert Petersen</t>
  </si>
  <si>
    <t>$39197</t>
  </si>
  <si>
    <t>Gary Moon</t>
  </si>
  <si>
    <t>$27950</t>
  </si>
  <si>
    <t>Patricia Cowan</t>
  </si>
  <si>
    <t>$33405</t>
  </si>
  <si>
    <t>Tina Hernandez</t>
  </si>
  <si>
    <t>$14728</t>
  </si>
  <si>
    <t>Nathaniel Weiss</t>
  </si>
  <si>
    <t>$44042</t>
  </si>
  <si>
    <t>Timothy Frank</t>
  </si>
  <si>
    <t>$26954</t>
  </si>
  <si>
    <t>William Allen</t>
  </si>
  <si>
    <t>$49128</t>
  </si>
  <si>
    <t>Corey Walsh</t>
  </si>
  <si>
    <t>$40850</t>
  </si>
  <si>
    <t>April Parker</t>
  </si>
  <si>
    <t>$49839</t>
  </si>
  <si>
    <t>Sean Duncan</t>
  </si>
  <si>
    <t>$29695</t>
  </si>
  <si>
    <t>Brenda Bauer</t>
  </si>
  <si>
    <t>$8141</t>
  </si>
  <si>
    <t>Austin Wright</t>
  </si>
  <si>
    <t>$46285</t>
  </si>
  <si>
    <t>Amy Mitchell</t>
  </si>
  <si>
    <t>$13345</t>
  </si>
  <si>
    <t>Michael Sanchez</t>
  </si>
  <si>
    <t>$24713</t>
  </si>
  <si>
    <t>Mrs. Hayley Hunter MD</t>
  </si>
  <si>
    <t>$13764</t>
  </si>
  <si>
    <t>Sandra Davis</t>
  </si>
  <si>
    <t>$35872</t>
  </si>
  <si>
    <t>Joyce Travis</t>
  </si>
  <si>
    <t>$12431</t>
  </si>
  <si>
    <t>Susan Ali</t>
  </si>
  <si>
    <t>Lori Bass</t>
  </si>
  <si>
    <t>$27443</t>
  </si>
  <si>
    <t>Michael Gray</t>
  </si>
  <si>
    <t>$8379</t>
  </si>
  <si>
    <t>Dr. Abigail Jackson</t>
  </si>
  <si>
    <t>$32355</t>
  </si>
  <si>
    <t>Rebecca Harrison</t>
  </si>
  <si>
    <t>$40033</t>
  </si>
  <si>
    <t>Stacey Collins</t>
  </si>
  <si>
    <t>$5001</t>
  </si>
  <si>
    <t>Mr. Jacob Stokes DDS</t>
  </si>
  <si>
    <t>$35398</t>
  </si>
  <si>
    <t>Lindsay Hall</t>
  </si>
  <si>
    <t>$27927</t>
  </si>
  <si>
    <t>Mary Steele</t>
  </si>
  <si>
    <t>$27940</t>
  </si>
  <si>
    <t>Scott Bowers</t>
  </si>
  <si>
    <t>$45734</t>
  </si>
  <si>
    <t>Gabriella West</t>
  </si>
  <si>
    <t>$19924</t>
  </si>
  <si>
    <t>Allison Barker</t>
  </si>
  <si>
    <t>$49294</t>
  </si>
  <si>
    <t>Jeffery Tran</t>
  </si>
  <si>
    <t>$33741</t>
  </si>
  <si>
    <t>Christopher Jones</t>
  </si>
  <si>
    <t>$46316</t>
  </si>
  <si>
    <t>Annette Snyder</t>
  </si>
  <si>
    <t>$35441</t>
  </si>
  <si>
    <t>Erika Reed</t>
  </si>
  <si>
    <t>$4074</t>
  </si>
  <si>
    <t>Daniel Lee</t>
  </si>
  <si>
    <t>$22164</t>
  </si>
  <si>
    <t>Nicholas Carey</t>
  </si>
  <si>
    <t>$35865</t>
  </si>
  <si>
    <t>Teresa Lewis</t>
  </si>
  <si>
    <t>$25965</t>
  </si>
  <si>
    <t>Alyssa Craig</t>
  </si>
  <si>
    <t>Chris Wise</t>
  </si>
  <si>
    <t>$10189</t>
  </si>
  <si>
    <t>Keith Burton</t>
  </si>
  <si>
    <t>$18843</t>
  </si>
  <si>
    <t>Susan Ellison</t>
  </si>
  <si>
    <t>$37032</t>
  </si>
  <si>
    <t>Margaret Duncan</t>
  </si>
  <si>
    <t>$38333</t>
  </si>
  <si>
    <t>Jennifer Nelson</t>
  </si>
  <si>
    <t>$42870</t>
  </si>
  <si>
    <t>Donna Peters</t>
  </si>
  <si>
    <t>$45857</t>
  </si>
  <si>
    <t>Michael Palmer</t>
  </si>
  <si>
    <t>$21517</t>
  </si>
  <si>
    <t>Daniel Collins</t>
  </si>
  <si>
    <t>$40961</t>
  </si>
  <si>
    <t>Ms. Alexis Robertson</t>
  </si>
  <si>
    <t>Stephen Reed</t>
  </si>
  <si>
    <t>$6114</t>
  </si>
  <si>
    <t>Joshua Hebert</t>
  </si>
  <si>
    <t>$36660</t>
  </si>
  <si>
    <t>Anthony King</t>
  </si>
  <si>
    <t>$4193</t>
  </si>
  <si>
    <t>Amy Bentley</t>
  </si>
  <si>
    <t>$33167</t>
  </si>
  <si>
    <t>Lori Cole</t>
  </si>
  <si>
    <t>$13847</t>
  </si>
  <si>
    <t>Jesse Choi</t>
  </si>
  <si>
    <t>$47873</t>
  </si>
  <si>
    <t>Vanessa Watson</t>
  </si>
  <si>
    <t>$34888</t>
  </si>
  <si>
    <t>Brian Cole</t>
  </si>
  <si>
    <t>$35098</t>
  </si>
  <si>
    <t>Joshua Johnson</t>
  </si>
  <si>
    <t>$15547</t>
  </si>
  <si>
    <t>Anne Coleman</t>
  </si>
  <si>
    <t>$15465</t>
  </si>
  <si>
    <t>Melanie Mccoy DDS</t>
  </si>
  <si>
    <t>$44930</t>
  </si>
  <si>
    <t>William Blackburn</t>
  </si>
  <si>
    <t>$16796</t>
  </si>
  <si>
    <t>Alyssa Harvey</t>
  </si>
  <si>
    <t>$9606</t>
  </si>
  <si>
    <t>Jack Carpenter</t>
  </si>
  <si>
    <t>$21278</t>
  </si>
  <si>
    <t>Robert Gordon</t>
  </si>
  <si>
    <t>$25494</t>
  </si>
  <si>
    <t>Dawn Bryant</t>
  </si>
  <si>
    <t>$23908</t>
  </si>
  <si>
    <t>Darren Lowe</t>
  </si>
  <si>
    <t>$37749</t>
  </si>
  <si>
    <t>Anna Page</t>
  </si>
  <si>
    <t>$40826</t>
  </si>
  <si>
    <t>Eric Wolf</t>
  </si>
  <si>
    <t>$2187</t>
  </si>
  <si>
    <t>Leslie Chapman</t>
  </si>
  <si>
    <t>$37828</t>
  </si>
  <si>
    <t>Margaret Davies</t>
  </si>
  <si>
    <t>$42709</t>
  </si>
  <si>
    <t>Nancy Woods</t>
  </si>
  <si>
    <t>$35945</t>
  </si>
  <si>
    <t>Samuel Peterson</t>
  </si>
  <si>
    <t>$22950</t>
  </si>
  <si>
    <t>Donald Kennedy</t>
  </si>
  <si>
    <t>$44378</t>
  </si>
  <si>
    <t>Olivia Smith</t>
  </si>
  <si>
    <t>$49562</t>
  </si>
  <si>
    <t>Gloria Curry</t>
  </si>
  <si>
    <t>$35849</t>
  </si>
  <si>
    <t>Rachel Donaldson</t>
  </si>
  <si>
    <t>$43406</t>
  </si>
  <si>
    <t>Mark Johnston</t>
  </si>
  <si>
    <t>$41492</t>
  </si>
  <si>
    <t>Danny Porter</t>
  </si>
  <si>
    <t>$17378</t>
  </si>
  <si>
    <t>Tracy Russell</t>
  </si>
  <si>
    <t>$37383</t>
  </si>
  <si>
    <t>Matthew Medina</t>
  </si>
  <si>
    <t>$22075</t>
  </si>
  <si>
    <t>Erin Molina</t>
  </si>
  <si>
    <t>$26875</t>
  </si>
  <si>
    <t>Ronald Owens</t>
  </si>
  <si>
    <t>$12807</t>
  </si>
  <si>
    <t>Lori Russo</t>
  </si>
  <si>
    <t>$36531</t>
  </si>
  <si>
    <t>Katherine Doyle</t>
  </si>
  <si>
    <t>$19362</t>
  </si>
  <si>
    <t>Matthew Thompson</t>
  </si>
  <si>
    <t>$46343</t>
  </si>
  <si>
    <t>Travis Goodman</t>
  </si>
  <si>
    <t>$25909</t>
  </si>
  <si>
    <t>Emily Alexander</t>
  </si>
  <si>
    <t>$19258</t>
  </si>
  <si>
    <t>Susan Arroyo</t>
  </si>
  <si>
    <t>$1292</t>
  </si>
  <si>
    <t>Douglas Holloway</t>
  </si>
  <si>
    <t>$6514</t>
  </si>
  <si>
    <t>Christina Mata</t>
  </si>
  <si>
    <t>$7865</t>
  </si>
  <si>
    <t>Christopher Miranda</t>
  </si>
  <si>
    <t>$15045</t>
  </si>
  <si>
    <t>Ms. Olivia Murray</t>
  </si>
  <si>
    <t>$13928</t>
  </si>
  <si>
    <t>Kimberly Miller</t>
  </si>
  <si>
    <t>$10084</t>
  </si>
  <si>
    <t>Thomas Tran</t>
  </si>
  <si>
    <t>$27023</t>
  </si>
  <si>
    <t>Holly Jones</t>
  </si>
  <si>
    <t>$42571</t>
  </si>
  <si>
    <t>Joshua Jackson</t>
  </si>
  <si>
    <t>$33459</t>
  </si>
  <si>
    <t>Sara Sullivan</t>
  </si>
  <si>
    <t>$5852</t>
  </si>
  <si>
    <t>Jeffrey Bruce</t>
  </si>
  <si>
    <t>$30089</t>
  </si>
  <si>
    <t>Mark Newman</t>
  </si>
  <si>
    <t>$23249</t>
  </si>
  <si>
    <t>Michael Gonzalez</t>
  </si>
  <si>
    <t>$14747</t>
  </si>
  <si>
    <t>John Sloan</t>
  </si>
  <si>
    <t>$26612</t>
  </si>
  <si>
    <t>Mark Phillips</t>
  </si>
  <si>
    <t>$22505</t>
  </si>
  <si>
    <t>Kristina Shepard</t>
  </si>
  <si>
    <t>$12698</t>
  </si>
  <si>
    <t>Paul Garcia</t>
  </si>
  <si>
    <t>$37974</t>
  </si>
  <si>
    <t>Colleen Proctor</t>
  </si>
  <si>
    <t>$37893</t>
  </si>
  <si>
    <t>Frank Lara</t>
  </si>
  <si>
    <t>$47774</t>
  </si>
  <si>
    <t>Richard Wilson</t>
  </si>
  <si>
    <t>$36990</t>
  </si>
  <si>
    <t>Christopher Sutton</t>
  </si>
  <si>
    <t>$13263</t>
  </si>
  <si>
    <t>Andrew Simpson</t>
  </si>
  <si>
    <t>$30037</t>
  </si>
  <si>
    <t>Heather Butler</t>
  </si>
  <si>
    <t>$30322</t>
  </si>
  <si>
    <t>Suzanne Hopkins DVM</t>
  </si>
  <si>
    <t>$2052</t>
  </si>
  <si>
    <t>Spencer Bird</t>
  </si>
  <si>
    <t>$1790</t>
  </si>
  <si>
    <t>John Weaver</t>
  </si>
  <si>
    <t>$5568</t>
  </si>
  <si>
    <t>Anthony Mclean MD</t>
  </si>
  <si>
    <t>$35739</t>
  </si>
  <si>
    <t>Wendy Shepherd</t>
  </si>
  <si>
    <t>$39318</t>
  </si>
  <si>
    <t>Erica Patterson</t>
  </si>
  <si>
    <t>$7230</t>
  </si>
  <si>
    <t>Justin Li</t>
  </si>
  <si>
    <t>$39173</t>
  </si>
  <si>
    <t>George Reyes</t>
  </si>
  <si>
    <t>$31678</t>
  </si>
  <si>
    <t>Stephen Day DDS</t>
  </si>
  <si>
    <t>$3950</t>
  </si>
  <si>
    <t>James Roberson</t>
  </si>
  <si>
    <t>$11503</t>
  </si>
  <si>
    <t>Tanya Thompson</t>
  </si>
  <si>
    <t>$23935</t>
  </si>
  <si>
    <t>Allison Bennett</t>
  </si>
  <si>
    <t>$42507</t>
  </si>
  <si>
    <t>Adam Jones</t>
  </si>
  <si>
    <t>$40085</t>
  </si>
  <si>
    <t>Monique Morton</t>
  </si>
  <si>
    <t>$27518</t>
  </si>
  <si>
    <t>Audrey Neal</t>
  </si>
  <si>
    <t>$44610</t>
  </si>
  <si>
    <t>Scott Williams</t>
  </si>
  <si>
    <t>$35793</t>
  </si>
  <si>
    <t>Darryl Rivera</t>
  </si>
  <si>
    <t>$36979</t>
  </si>
  <si>
    <t>Molly Adams</t>
  </si>
  <si>
    <t>$12221</t>
  </si>
  <si>
    <t>Michele Vance</t>
  </si>
  <si>
    <t>$11238</t>
  </si>
  <si>
    <t>John Anthony</t>
  </si>
  <si>
    <t>$39119</t>
  </si>
  <si>
    <t>Joseph Smith</t>
  </si>
  <si>
    <t>Mary Hanson</t>
  </si>
  <si>
    <t xml:space="preserve">Revenue/Unit </t>
  </si>
  <si>
    <t>Revenue By region</t>
  </si>
  <si>
    <t>Row Labels</t>
  </si>
  <si>
    <t>Grand Total</t>
  </si>
  <si>
    <t>Revenue in numbers</t>
  </si>
  <si>
    <t>Sum of Revenue in numbers</t>
  </si>
  <si>
    <t>Revenue By drug</t>
  </si>
  <si>
    <t>Revenue By Customer type</t>
  </si>
  <si>
    <t>Qtr1</t>
  </si>
  <si>
    <t>Qtr2</t>
  </si>
  <si>
    <t>Qtr3</t>
  </si>
  <si>
    <t>Qtr4</t>
  </si>
  <si>
    <t>Count of Region</t>
  </si>
  <si>
    <t>Count of Drug Name</t>
  </si>
  <si>
    <t xml:space="preserve">Sum of Revenue/Unit </t>
  </si>
  <si>
    <t>PHARMA SALES DASHBOARD</t>
  </si>
  <si>
    <t>Total Revenue</t>
  </si>
  <si>
    <t>Total Units Sold</t>
  </si>
  <si>
    <t>Sum of Units Sold</t>
  </si>
  <si>
    <t>KEY INSIGHTS &amp; RECOMMENDATIONS</t>
  </si>
  <si>
    <t>Key Finding</t>
  </si>
  <si>
    <t>Business Implication</t>
  </si>
  <si>
    <t>Recommendation</t>
  </si>
  <si>
    <t>South America generated the highest revenue</t>
  </si>
  <si>
    <t>________</t>
  </si>
  <si>
    <t>Strong regional performance.</t>
  </si>
  <si>
    <t>Consider maintaining or increasing sales focus in South America.</t>
  </si>
  <si>
    <t>Revenue increased from Q1 to Q4, with Q4 highest.</t>
  </si>
  <si>
    <t>Q4 is the strongest observed period.</t>
  </si>
  <si>
    <t>Prepare inventory and sales resources ahead of Q4.</t>
  </si>
  <si>
    <t>Drug B generated the highest overall revenue.</t>
  </si>
  <si>
    <t>Drug B is the strongest revenue-generating product.</t>
  </si>
  <si>
    <t>Consider prioritizing Drug B in sales planning and monitoring availability.</t>
  </si>
  <si>
    <t>Pharmacy generated the highest revenue.</t>
  </si>
  <si>
    <t>Pharmacy is the strongest customer segment by revenue.</t>
  </si>
  <si>
    <t>Maintain focus on pharmacy customers and explore opportunities in lower-performing segments.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</si>
</sst>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 #,##0.00"/>
    <numFmt numFmtId="165" formatCode="[$$-409]#,##0;[Red][$$-409]#,##0"/>
    <numFmt numFmtId="166" formatCode="0;[Red]0"/>
    <numFmt numFmtId="167" formatCode="&quot;₹&quot;\ #,##0;[Red]&quot;₹&quot;\ #,##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24"/>
      <color theme="0"/>
      <name val="Bahnschrift SemiBold SemiConden"/>
      <family val="2"/>
    </font>
    <font>
      <sz val="24"/>
      <color theme="0"/>
      <name val="Bahnschrift SemiBold Condensed"/>
      <family val="2"/>
    </font>
    <font>
      <b/>
      <sz val="14"/>
      <color theme="1"/>
      <name val="Bahnschrift Light"/>
      <family val="2"/>
    </font>
    <font>
      <sz val="16"/>
      <color theme="1"/>
      <name val="Calibri"/>
      <family val="2"/>
      <scheme val="minor"/>
    </font>
    <font>
      <sz val="14"/>
      <color theme="1"/>
      <name val="Calibri"/>
      <family val="2"/>
      <scheme val="minor"/>
    </font>
    <font>
      <b/>
      <sz val="16"/>
      <color theme="8" tint="-0.499984740745262"/>
      <name val="Bahnschrift SemiLight"/>
      <family val="2"/>
    </font>
  </fonts>
  <fills count="5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rgb="FF666633"/>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CCFF"/>
        <bgColor indexed="64"/>
      </patternFill>
    </fill>
    <fill>
      <patternFill patternType="solid">
        <fgColor rgb="FFBFE3C4"/>
        <bgColor indexed="64"/>
      </patternFill>
    </fill>
    <fill>
      <patternFill patternType="solid">
        <fgColor theme="0" tint="-4.9989318521683403E-2"/>
        <bgColor indexed="64"/>
      </patternFill>
    </fill>
    <fill>
      <patternFill patternType="solid">
        <fgColor theme="2"/>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2">
    <xf numFmtId="0" fontId="0" fillId="0" borderId="0" xfId="0"/>
    <xf numFmtId="14" fontId="0" fillId="0" borderId="0" xfId="0" applyNumberFormat="1"/>
    <xf numFmtId="164" fontId="0" fillId="0" borderId="0" xfId="0" applyNumberFormat="1"/>
    <xf numFmtId="165" fontId="0" fillId="0" borderId="0" xfId="0" applyNumberFormat="1"/>
    <xf numFmtId="166" fontId="0" fillId="0" borderId="0" xfId="0" applyNumberFormat="1"/>
    <xf numFmtId="165" fontId="0" fillId="0" borderId="0" xfId="0" applyNumberFormat="1" applyAlignment="1">
      <alignment horizontal="right"/>
    </xf>
    <xf numFmtId="0" fontId="0" fillId="33" borderId="0" xfId="0" applyFill="1"/>
    <xf numFmtId="0" fontId="0" fillId="0" borderId="0" xfId="0" pivotButton="1"/>
    <xf numFmtId="0" fontId="0" fillId="0" borderId="0" xfId="0" applyAlignment="1">
      <alignment horizontal="left"/>
    </xf>
    <xf numFmtId="2" fontId="0" fillId="0" borderId="0" xfId="0" applyNumberFormat="1"/>
    <xf numFmtId="167" fontId="0" fillId="0" borderId="0" xfId="0" applyNumberFormat="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9" fillId="0" borderId="0" xfId="0" applyFont="1" applyAlignment="1">
      <alignment horizontal="center"/>
    </xf>
    <xf numFmtId="0" fontId="0" fillId="40" borderId="0" xfId="0" applyFill="1"/>
    <xf numFmtId="0" fontId="0" fillId="41" borderId="0" xfId="0" applyFill="1"/>
    <xf numFmtId="0" fontId="0" fillId="42" borderId="0" xfId="0" applyFill="1"/>
    <xf numFmtId="0" fontId="0" fillId="43" borderId="0" xfId="0" applyFill="1"/>
    <xf numFmtId="0" fontId="0" fillId="44" borderId="0" xfId="0" applyFill="1"/>
    <xf numFmtId="0" fontId="0" fillId="45" borderId="0" xfId="0" applyFill="1"/>
    <xf numFmtId="0" fontId="23" fillId="49" borderId="18" xfId="0" applyFont="1" applyFill="1" applyBorder="1" applyAlignment="1">
      <alignment horizontal="left"/>
    </xf>
    <xf numFmtId="0" fontId="23" fillId="49" borderId="19" xfId="0" applyFont="1" applyFill="1" applyBorder="1" applyAlignment="1">
      <alignment horizontal="left"/>
    </xf>
    <xf numFmtId="0" fontId="23" fillId="49" borderId="20" xfId="0" applyFont="1" applyFill="1" applyBorder="1" applyAlignment="1">
      <alignment horizontal="left"/>
    </xf>
    <xf numFmtId="0" fontId="23" fillId="47" borderId="18" xfId="0" applyFont="1" applyFill="1" applyBorder="1" applyAlignment="1">
      <alignment horizontal="left"/>
    </xf>
    <xf numFmtId="0" fontId="23" fillId="47" borderId="19" xfId="0" applyFont="1" applyFill="1" applyBorder="1" applyAlignment="1">
      <alignment horizontal="left"/>
    </xf>
    <xf numFmtId="0" fontId="23" fillId="47" borderId="20" xfId="0" applyFont="1" applyFill="1" applyBorder="1" applyAlignment="1">
      <alignment horizontal="left"/>
    </xf>
    <xf numFmtId="0" fontId="23" fillId="35" borderId="19" xfId="0" applyFont="1" applyFill="1" applyBorder="1" applyAlignment="1">
      <alignment horizontal="left"/>
    </xf>
    <xf numFmtId="0" fontId="23" fillId="35" borderId="20" xfId="0" applyFont="1" applyFill="1" applyBorder="1" applyAlignment="1">
      <alignment horizontal="left"/>
    </xf>
    <xf numFmtId="0" fontId="23" fillId="35" borderId="18" xfId="0" applyFont="1" applyFill="1" applyBorder="1" applyAlignment="1">
      <alignment horizontal="left"/>
    </xf>
    <xf numFmtId="0" fontId="21" fillId="0" borderId="0" xfId="0" applyFont="1" applyAlignment="1">
      <alignment horizontal="center"/>
    </xf>
    <xf numFmtId="0" fontId="21" fillId="0" borderId="14" xfId="0" applyFont="1" applyBorder="1" applyAlignment="1">
      <alignment horizontal="center"/>
    </xf>
    <xf numFmtId="165" fontId="22" fillId="0" borderId="0" xfId="0" applyNumberFormat="1" applyFont="1"/>
    <xf numFmtId="165" fontId="22" fillId="0" borderId="0" xfId="0" applyNumberFormat="1" applyFont="1" applyAlignment="1">
      <alignment horizontal="right"/>
    </xf>
    <xf numFmtId="0" fontId="20" fillId="39" borderId="10" xfId="0" applyFont="1" applyFill="1" applyBorder="1" applyAlignment="1">
      <alignment horizontal="center"/>
    </xf>
    <xf numFmtId="0" fontId="20" fillId="39" borderId="11" xfId="0" applyFont="1" applyFill="1" applyBorder="1" applyAlignment="1">
      <alignment horizontal="center"/>
    </xf>
    <xf numFmtId="0" fontId="20" fillId="39" borderId="12" xfId="0" applyFont="1" applyFill="1" applyBorder="1" applyAlignment="1">
      <alignment horizontal="center"/>
    </xf>
    <xf numFmtId="0" fontId="20" fillId="39" borderId="13" xfId="0" applyFont="1" applyFill="1" applyBorder="1" applyAlignment="1">
      <alignment horizontal="center"/>
    </xf>
    <xf numFmtId="0" fontId="20" fillId="39" borderId="0" xfId="0" applyFont="1" applyFill="1" applyAlignment="1">
      <alignment horizontal="center"/>
    </xf>
    <xf numFmtId="0" fontId="20" fillId="39" borderId="14" xfId="0" applyFont="1" applyFill="1" applyBorder="1" applyAlignment="1">
      <alignment horizontal="center"/>
    </xf>
    <xf numFmtId="0" fontId="20" fillId="39" borderId="15" xfId="0" applyFont="1" applyFill="1" applyBorder="1" applyAlignment="1">
      <alignment horizontal="center"/>
    </xf>
    <xf numFmtId="0" fontId="20" fillId="39" borderId="16" xfId="0" applyFont="1" applyFill="1" applyBorder="1" applyAlignment="1">
      <alignment horizontal="center"/>
    </xf>
    <xf numFmtId="0" fontId="20" fillId="39" borderId="17" xfId="0" applyFont="1" applyFill="1" applyBorder="1" applyAlignment="1">
      <alignment horizontal="center"/>
    </xf>
    <xf numFmtId="0" fontId="24" fillId="46" borderId="0" xfId="0" applyFont="1" applyFill="1" applyAlignment="1">
      <alignment horizontal="center" vertical="center"/>
    </xf>
    <xf numFmtId="0" fontId="0" fillId="48" borderId="21" xfId="0" applyFill="1" applyBorder="1" applyAlignment="1">
      <alignment horizontal="left" vertical="top" wrapText="1"/>
    </xf>
    <xf numFmtId="0" fontId="0" fillId="48" borderId="22" xfId="0" applyFill="1" applyBorder="1" applyAlignment="1">
      <alignment horizontal="left" vertical="top" wrapText="1"/>
    </xf>
    <xf numFmtId="0" fontId="0" fillId="48" borderId="23" xfId="0" applyFill="1" applyBorder="1" applyAlignment="1">
      <alignment horizontal="left" vertical="top" wrapText="1"/>
    </xf>
    <xf numFmtId="0" fontId="0" fillId="48" borderId="24" xfId="0" applyFill="1" applyBorder="1" applyAlignment="1">
      <alignment horizontal="left" vertical="top" wrapText="1"/>
    </xf>
    <xf numFmtId="0" fontId="0" fillId="48" borderId="25" xfId="0" applyFill="1" applyBorder="1" applyAlignment="1">
      <alignment horizontal="left" vertical="top" wrapText="1"/>
    </xf>
    <xf numFmtId="0" fontId="0" fillId="48" borderId="26" xfId="0" applyFill="1" applyBorder="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BFE3C4"/>
      <color rgb="FFFFCCFF"/>
      <color rgb="FFCCCCFF"/>
      <color rgb="FFFFCCCC"/>
      <color rgb="FFFFFFCC"/>
      <color rgb="FFCCECFF"/>
      <color rgb="FF808000"/>
      <color rgb="FFCCCC00"/>
      <color rgb="FF666633"/>
      <color rgb="FF66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[Pharmaceutical_Sales_analysis.csv.xlsx]Analysis!PivotTable8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Drugs</a:t>
            </a:r>
            <a:r>
              <a:rPr lang="en-US" baseline="0"/>
              <a:t> manufactured by each company</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Analysis!$J$13</c:f>
              <c:strCache>
                <c:ptCount val="1"/>
                <c:pt idx="0">
                  <c:v>Total</c:v>
                </c:pt>
              </c:strCache>
            </c:strRef>
          </c:tx>
          <c:spPr>
            <a:solidFill>
              <a:schemeClr val="accent3"/>
            </a:solidFill>
            <a:ln>
              <a:noFill/>
            </a:ln>
            <a:effectLst/>
          </c:spPr>
          <c:invertIfNegative val="0"/>
          <c:cat>
            <c:strRef>
              <c:f>Analysis!$I$14:$I$19</c:f>
              <c:strCache>
                <c:ptCount val="5"/>
                <c:pt idx="0">
                  <c:v>Company V</c:v>
                </c:pt>
                <c:pt idx="1">
                  <c:v>Company W</c:v>
                </c:pt>
                <c:pt idx="2">
                  <c:v>Company X</c:v>
                </c:pt>
                <c:pt idx="3">
                  <c:v>Company Y</c:v>
                </c:pt>
                <c:pt idx="4">
                  <c:v>Company Z</c:v>
                </c:pt>
              </c:strCache>
            </c:strRef>
          </c:cat>
          <c:val>
            <c:numRef>
              <c:f>Analysis!$J$14:$J$19</c:f>
              <c:numCache>
                <c:formatCode>General</c:formatCode>
                <c:ptCount val="5"/>
                <c:pt idx="0">
                  <c:v>212</c:v>
                </c:pt>
                <c:pt idx="1">
                  <c:v>195</c:v>
                </c:pt>
                <c:pt idx="2">
                  <c:v>193</c:v>
                </c:pt>
                <c:pt idx="3">
                  <c:v>212</c:v>
                </c:pt>
                <c:pt idx="4">
                  <c:v>188</c:v>
                </c:pt>
              </c:numCache>
            </c:numRef>
          </c:val>
          <c:extLst>
            <c:ext xmlns:c16="http://schemas.microsoft.com/office/drawing/2014/chart" uri="{C3380CC4-5D6E-409C-BE32-E72D297353CC}">
              <c16:uniqueId val="{00000000-FAE4-421E-9A15-FE4EF7141A4F}"/>
            </c:ext>
          </c:extLst>
        </c:ser>
        <c:dLbls>
          <c:showLegendKey val="0"/>
          <c:showVal val="0"/>
          <c:showCatName val="0"/>
          <c:showSerName val="0"/>
          <c:showPercent val="0"/>
          <c:showBubbleSize val="0"/>
        </c:dLbls>
        <c:gapWidth val="219"/>
        <c:overlap val="-27"/>
        <c:axId val="496442784"/>
        <c:axId val="496439904"/>
      </c:barChart>
      <c:catAx>
        <c:axId val="49644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439904"/>
        <c:crosses val="autoZero"/>
        <c:auto val="1"/>
        <c:lblAlgn val="ctr"/>
        <c:lblOffset val="100"/>
        <c:noMultiLvlLbl val="0"/>
      </c:catAx>
      <c:valAx>
        <c:axId val="496439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442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[Pharmaceutical_Sales_analysis.csv.xlsx]Analysis!PivotTable9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/Unit fro each drug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Analysis!$M$13</c:f>
              <c:strCache>
                <c:ptCount val="1"/>
                <c:pt idx="0">
                  <c:v>Total</c:v>
                </c:pt>
              </c:strCache>
            </c:strRef>
          </c:tx>
          <c:spPr>
            <a:solidFill>
              <a:schemeClr val="accent1"/>
            </a:solidFill>
            <a:ln>
              <a:noFill/>
            </a:ln>
            <a:effectLst/>
          </c:spPr>
          <c:invertIfNegative val="0"/>
          <c:cat>
            <c:strRef>
              <c:f>Analysis!$L$14:$L$19</c:f>
              <c:strCache>
                <c:ptCount val="5"/>
                <c:pt idx="0">
                  <c:v>Drug A</c:v>
                </c:pt>
                <c:pt idx="1">
                  <c:v>Drug B</c:v>
                </c:pt>
                <c:pt idx="2">
                  <c:v>Drug C</c:v>
                </c:pt>
                <c:pt idx="3">
                  <c:v>Drug D</c:v>
                </c:pt>
                <c:pt idx="4">
                  <c:v>Drug E</c:v>
                </c:pt>
              </c:strCache>
            </c:strRef>
          </c:cat>
          <c:val>
            <c:numRef>
              <c:f>Analysis!$M$14:$M$19</c:f>
              <c:numCache>
                <c:formatCode>[$$-409]#,##0;[Red][$$-409]#,##0</c:formatCode>
                <c:ptCount val="5"/>
                <c:pt idx="0">
                  <c:v>9045.1626997053736</c:v>
                </c:pt>
                <c:pt idx="1">
                  <c:v>8204.9360212264874</c:v>
                </c:pt>
                <c:pt idx="2">
                  <c:v>8625.9723638331543</c:v>
                </c:pt>
                <c:pt idx="3">
                  <c:v>8236.5610302540626</c:v>
                </c:pt>
                <c:pt idx="4">
                  <c:v>6966.568514163595</c:v>
                </c:pt>
              </c:numCache>
            </c:numRef>
          </c:val>
          <c:extLst>
            <c:ext xmlns:c16="http://schemas.microsoft.com/office/drawing/2014/chart" uri="{C3380CC4-5D6E-409C-BE32-E72D297353CC}">
              <c16:uniqueId val="{00000000-825D-455B-A2E7-1AF2F349280C}"/>
            </c:ext>
          </c:extLst>
        </c:ser>
        <c:dLbls>
          <c:showLegendKey val="0"/>
          <c:showVal val="0"/>
          <c:showCatName val="0"/>
          <c:showSerName val="0"/>
          <c:showPercent val="0"/>
          <c:showBubbleSize val="0"/>
        </c:dLbls>
        <c:gapWidth val="219"/>
        <c:overlap val="-27"/>
        <c:axId val="496431744"/>
        <c:axId val="496440864"/>
      </c:barChart>
      <c:catAx>
        <c:axId val="49643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440864"/>
        <c:crosses val="autoZero"/>
        <c:auto val="1"/>
        <c:lblAlgn val="ctr"/>
        <c:lblOffset val="100"/>
        <c:noMultiLvlLbl val="0"/>
      </c:catAx>
      <c:valAx>
        <c:axId val="496440864"/>
        <c:scaling>
          <c:orientation val="minMax"/>
        </c:scaling>
        <c:delete val="0"/>
        <c:axPos val="l"/>
        <c:majorGridlines>
          <c:spPr>
            <a:ln w="9525" cap="flat" cmpd="sng" algn="ctr">
              <a:solidFill>
                <a:schemeClr val="tx1">
                  <a:lumMod val="15000"/>
                  <a:lumOff val="85000"/>
                </a:schemeClr>
              </a:solidFill>
              <a:round/>
            </a:ln>
            <a:effectLst/>
          </c:spPr>
        </c:majorGridlines>
        <c:numFmt formatCode="[$$-409]#,##0;[Red][$$-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43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[Pharmaceutical_Sales_analysis.csv.xlsx]Analysis!PivotTable10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Revenue/Unit</a:t>
            </a:r>
            <a:r>
              <a:rPr lang="en-US" baseline="0"/>
              <a:t> for each Customer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Analysis!$M$22</c:f>
              <c:strCache>
                <c:ptCount val="1"/>
                <c:pt idx="0">
                  <c:v>Total</c:v>
                </c:pt>
              </c:strCache>
            </c:strRef>
          </c:tx>
          <c:spPr>
            <a:solidFill>
              <a:schemeClr val="accent1"/>
            </a:solidFill>
            <a:ln>
              <a:noFill/>
            </a:ln>
            <a:effectLst/>
          </c:spPr>
          <c:invertIfNegative val="0"/>
          <c:cat>
            <c:strRef>
              <c:f>Analysis!$L$23:$L$28</c:f>
              <c:strCache>
                <c:ptCount val="5"/>
                <c:pt idx="0">
                  <c:v>Clinics</c:v>
                </c:pt>
                <c:pt idx="1">
                  <c:v>Hospitals</c:v>
                </c:pt>
                <c:pt idx="2">
                  <c:v>Online Pharmacy</c:v>
                </c:pt>
                <c:pt idx="3">
                  <c:v>Pharmacy</c:v>
                </c:pt>
                <c:pt idx="4">
                  <c:v>Supermarkets</c:v>
                </c:pt>
              </c:strCache>
            </c:strRef>
          </c:cat>
          <c:val>
            <c:numRef>
              <c:f>Analysis!$M$23:$M$28</c:f>
              <c:numCache>
                <c:formatCode>[$$-409]#,##0;[Red][$$-409]#,##0</c:formatCode>
                <c:ptCount val="5"/>
                <c:pt idx="0">
                  <c:v>7951.6264227233778</c:v>
                </c:pt>
                <c:pt idx="1">
                  <c:v>8142.7244280465875</c:v>
                </c:pt>
                <c:pt idx="2">
                  <c:v>7705.4082496617211</c:v>
                </c:pt>
                <c:pt idx="3">
                  <c:v>9013.6287320368974</c:v>
                </c:pt>
                <c:pt idx="4">
                  <c:v>8265.8127967140936</c:v>
                </c:pt>
              </c:numCache>
            </c:numRef>
          </c:val>
          <c:extLst>
            <c:ext xmlns:c16="http://schemas.microsoft.com/office/drawing/2014/chart" uri="{C3380CC4-5D6E-409C-BE32-E72D297353CC}">
              <c16:uniqueId val="{00000000-CD80-4AA9-87B7-A94135F68EDB}"/>
            </c:ext>
          </c:extLst>
        </c:ser>
        <c:dLbls>
          <c:showLegendKey val="0"/>
          <c:showVal val="0"/>
          <c:showCatName val="0"/>
          <c:showSerName val="0"/>
          <c:showPercent val="0"/>
          <c:showBubbleSize val="0"/>
        </c:dLbls>
        <c:gapWidth val="219"/>
        <c:overlap val="-27"/>
        <c:axId val="97232048"/>
        <c:axId val="97232528"/>
      </c:barChart>
      <c:catAx>
        <c:axId val="9723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32528"/>
        <c:crosses val="autoZero"/>
        <c:auto val="1"/>
        <c:lblAlgn val="ctr"/>
        <c:lblOffset val="100"/>
        <c:noMultiLvlLbl val="0"/>
      </c:catAx>
      <c:valAx>
        <c:axId val="97232528"/>
        <c:scaling>
          <c:orientation val="minMax"/>
        </c:scaling>
        <c:delete val="0"/>
        <c:axPos val="l"/>
        <c:majorGridlines>
          <c:spPr>
            <a:ln w="9525" cap="flat" cmpd="sng" algn="ctr">
              <a:solidFill>
                <a:schemeClr val="tx1">
                  <a:lumMod val="15000"/>
                  <a:lumOff val="85000"/>
                </a:schemeClr>
              </a:solidFill>
              <a:round/>
            </a:ln>
            <a:effectLst/>
          </c:spPr>
        </c:majorGridlines>
        <c:numFmt formatCode="[$$-409]#,##0;[Red][$$-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3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[Pharmaceutical_Sales_analysis.csv.xlsx]Analysis!PivotTable1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Analysis!$C$39</c:f>
              <c:strCache>
                <c:ptCount val="1"/>
                <c:pt idx="0">
                  <c:v>Total</c:v>
                </c:pt>
              </c:strCache>
            </c:strRef>
          </c:tx>
          <c:spPr>
            <a:solidFill>
              <a:schemeClr val="accent2"/>
            </a:solidFill>
            <a:ln>
              <a:noFill/>
            </a:ln>
            <a:effectLst/>
          </c:spPr>
          <c:invertIfNegative val="0"/>
          <c:cat>
            <c:strRef>
              <c:f>Analysis!$C$40</c:f>
              <c:strCache>
                <c:ptCount val="1"/>
                <c:pt idx="0">
                  <c:v>Total</c:v>
                </c:pt>
              </c:strCache>
            </c:strRef>
          </c:cat>
          <c:val>
            <c:numRef>
              <c:f>Analysis!$C$40</c:f>
              <c:numCache>
                <c:formatCode>[$$-409]#,##0;[Red][$$-409]#,##0</c:formatCode>
                <c:ptCount val="1"/>
                <c:pt idx="0">
                  <c:v>26078804</c:v>
                </c:pt>
              </c:numCache>
            </c:numRef>
          </c:val>
          <c:extLst>
            <c:ext xmlns:c16="http://schemas.microsoft.com/office/drawing/2014/chart" uri="{C3380CC4-5D6E-409C-BE32-E72D297353CC}">
              <c16:uniqueId val="{00000002-AA39-4BAB-B362-97D8237A652A}"/>
            </c:ext>
          </c:extLst>
        </c:ser>
        <c:dLbls>
          <c:showLegendKey val="0"/>
          <c:showVal val="0"/>
          <c:showCatName val="0"/>
          <c:showSerName val="0"/>
          <c:showPercent val="0"/>
          <c:showBubbleSize val="0"/>
        </c:dLbls>
        <c:gapWidth val="219"/>
        <c:overlap val="-27"/>
        <c:axId val="675101344"/>
        <c:axId val="675101824"/>
      </c:barChart>
      <c:catAx>
        <c:axId val="67510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101824"/>
        <c:crosses val="autoZero"/>
        <c:auto val="1"/>
        <c:lblAlgn val="ctr"/>
        <c:lblOffset val="100"/>
        <c:noMultiLvlLbl val="0"/>
      </c:catAx>
      <c:valAx>
        <c:axId val="675101824"/>
        <c:scaling>
          <c:orientation val="minMax"/>
        </c:scaling>
        <c:delete val="0"/>
        <c:axPos val="l"/>
        <c:majorGridlines>
          <c:spPr>
            <a:ln w="9525" cap="flat" cmpd="sng" algn="ctr">
              <a:solidFill>
                <a:schemeClr val="tx1">
                  <a:lumMod val="15000"/>
                  <a:lumOff val="85000"/>
                </a:schemeClr>
              </a:solidFill>
              <a:round/>
            </a:ln>
            <a:effectLst/>
          </c:spPr>
        </c:majorGridlines>
        <c:numFmt formatCode="[$$-409]#,##0;[Red][$$-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10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[Pharmaceutical_Sales_analysis.csv.xlsx]Analysis!PivotTable11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Units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Analysis!$C$52</c:f>
              <c:strCache>
                <c:ptCount val="1"/>
                <c:pt idx="0">
                  <c:v>Total</c:v>
                </c:pt>
              </c:strCache>
            </c:strRef>
          </c:tx>
          <c:spPr>
            <a:solidFill>
              <a:schemeClr val="dk1">
                <a:tint val="88500"/>
              </a:schemeClr>
            </a:solidFill>
            <a:ln>
              <a:noFill/>
            </a:ln>
            <a:effectLst/>
          </c:spPr>
          <c:invertIfNegative val="0"/>
          <c:cat>
            <c:strRef>
              <c:f>Analysis!$C$53</c:f>
              <c:strCache>
                <c:ptCount val="1"/>
                <c:pt idx="0">
                  <c:v>Total</c:v>
                </c:pt>
              </c:strCache>
            </c:strRef>
          </c:cat>
          <c:val>
            <c:numRef>
              <c:f>Analysis!$C$53</c:f>
              <c:numCache>
                <c:formatCode>0;[Red]0</c:formatCode>
                <c:ptCount val="1"/>
                <c:pt idx="0">
                  <c:v>1056409</c:v>
                </c:pt>
              </c:numCache>
            </c:numRef>
          </c:val>
          <c:extLst>
            <c:ext xmlns:c16="http://schemas.microsoft.com/office/drawing/2014/chart" uri="{C3380CC4-5D6E-409C-BE32-E72D297353CC}">
              <c16:uniqueId val="{00000000-8234-4253-A71A-31B20E83F0FF}"/>
            </c:ext>
          </c:extLst>
        </c:ser>
        <c:dLbls>
          <c:showLegendKey val="0"/>
          <c:showVal val="0"/>
          <c:showCatName val="0"/>
          <c:showSerName val="0"/>
          <c:showPercent val="0"/>
          <c:showBubbleSize val="0"/>
        </c:dLbls>
        <c:gapWidth val="219"/>
        <c:overlap val="-27"/>
        <c:axId val="278253328"/>
        <c:axId val="278253808"/>
      </c:barChart>
      <c:catAx>
        <c:axId val="27825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253808"/>
        <c:crosses val="autoZero"/>
        <c:auto val="1"/>
        <c:lblAlgn val="ctr"/>
        <c:lblOffset val="100"/>
        <c:noMultiLvlLbl val="0"/>
      </c:catAx>
      <c:valAx>
        <c:axId val="278253808"/>
        <c:scaling>
          <c:orientation val="minMax"/>
        </c:scaling>
        <c:delete val="0"/>
        <c:axPos val="l"/>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253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[Pharmaceutical_Sales_analysis.csv.xlsx]Analysis!PivotTable5</c:name>
    <c:fmtId val="1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TOP 5 SALES REPRESENTATIVE</a:t>
            </a:r>
          </a:p>
        </c:rich>
      </c:tx>
      <c:layout>
        <c:manualLayout>
          <c:xMode val="edge"/>
          <c:yMode val="edge"/>
          <c:x val="0.17036816924898698"/>
          <c:y val="1.0964605755641494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86493241245867"/>
          <c:y val="0.18295075802091904"/>
          <c:w val="0.76658564141898766"/>
          <c:h val="0.74290608644333656"/>
        </c:manualLayout>
      </c:layout>
      <c:barChart>
        <c:barDir val="bar"/>
        <c:grouping val="clustered"/>
        <c:varyColors val="0"/>
        <c:ser>
          <c:idx val="0"/>
          <c:order val="0"/>
          <c:tx>
            <c:strRef>
              <c:f>Analysis!$M$4</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Analysis!$L$5:$L$10</c:f>
              <c:strCache>
                <c:ptCount val="5"/>
                <c:pt idx="0">
                  <c:v>James Smith</c:v>
                </c:pt>
                <c:pt idx="1">
                  <c:v>Lisa Williams</c:v>
                </c:pt>
                <c:pt idx="2">
                  <c:v>Matthew Johnson</c:v>
                </c:pt>
                <c:pt idx="3">
                  <c:v>Michael Miller</c:v>
                </c:pt>
                <c:pt idx="4">
                  <c:v>Michael Scott</c:v>
                </c:pt>
              </c:strCache>
            </c:strRef>
          </c:cat>
          <c:val>
            <c:numRef>
              <c:f>Analysis!$M$5:$M$10</c:f>
              <c:numCache>
                <c:formatCode>[$$-409]#,##0;[Red][$$-409]#,##0</c:formatCode>
                <c:ptCount val="5"/>
                <c:pt idx="0">
                  <c:v>80353</c:v>
                </c:pt>
                <c:pt idx="1">
                  <c:v>75731</c:v>
                </c:pt>
                <c:pt idx="2">
                  <c:v>64237</c:v>
                </c:pt>
                <c:pt idx="3">
                  <c:v>61582</c:v>
                </c:pt>
                <c:pt idx="4">
                  <c:v>62553</c:v>
                </c:pt>
              </c:numCache>
            </c:numRef>
          </c:val>
          <c:extLst>
            <c:ext xmlns:c16="http://schemas.microsoft.com/office/drawing/2014/chart" uri="{C3380CC4-5D6E-409C-BE32-E72D297353CC}">
              <c16:uniqueId val="{00000000-64E2-4B87-8244-75A8B5181F64}"/>
            </c:ext>
          </c:extLst>
        </c:ser>
        <c:dLbls>
          <c:showLegendKey val="0"/>
          <c:showVal val="0"/>
          <c:showCatName val="0"/>
          <c:showSerName val="0"/>
          <c:showPercent val="0"/>
          <c:showBubbleSize val="0"/>
        </c:dLbls>
        <c:gapWidth val="227"/>
        <c:axId val="1508788000"/>
        <c:axId val="1508788480"/>
      </c:barChart>
      <c:catAx>
        <c:axId val="1508788000"/>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508788480"/>
        <c:crosses val="autoZero"/>
        <c:auto val="1"/>
        <c:lblAlgn val="ctr"/>
        <c:lblOffset val="100"/>
        <c:noMultiLvlLbl val="0"/>
      </c:catAx>
      <c:valAx>
        <c:axId val="1508788480"/>
        <c:scaling>
          <c:orientation val="minMax"/>
        </c:scaling>
        <c:delete val="0"/>
        <c:axPos val="b"/>
        <c:numFmt formatCode="[$$-409]#,##0;[Red][$$-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78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[Pharmaceutical_Sales_analysis.csv.xlsx]Analysis!PivotTable6</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QUARTER REVENUE DATE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diamond"/>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3"/>
            </a:solidFill>
            <a:round/>
          </a:ln>
          <a:effectLst/>
        </c:spPr>
        <c:marker>
          <c:symbol val="diamond"/>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Analysis!$D$13</c:f>
              <c:strCache>
                <c:ptCount val="1"/>
                <c:pt idx="0">
                  <c:v>Total</c:v>
                </c:pt>
              </c:strCache>
            </c:strRef>
          </c:tx>
          <c:spPr>
            <a:ln w="22225" cap="rnd">
              <a:solidFill>
                <a:schemeClr val="accent3"/>
              </a:solidFill>
              <a:round/>
            </a:ln>
            <a:effectLst/>
          </c:spPr>
          <c:marker>
            <c:symbol val="diamond"/>
            <c:size val="6"/>
            <c:spPr>
              <a:solidFill>
                <a:schemeClr val="accent3"/>
              </a:solidFill>
              <a:ln w="9525">
                <a:solidFill>
                  <a:schemeClr val="accent3"/>
                </a:solidFill>
                <a:round/>
              </a:ln>
              <a:effectLst/>
            </c:spPr>
          </c:marker>
          <c:cat>
            <c:strRef>
              <c:f>Analysis!$C$14:$C$18</c:f>
              <c:strCache>
                <c:ptCount val="4"/>
                <c:pt idx="0">
                  <c:v>Qtr1</c:v>
                </c:pt>
                <c:pt idx="1">
                  <c:v>Qtr2</c:v>
                </c:pt>
                <c:pt idx="2">
                  <c:v>Qtr3</c:v>
                </c:pt>
                <c:pt idx="3">
                  <c:v>Qtr4</c:v>
                </c:pt>
              </c:strCache>
            </c:strRef>
          </c:cat>
          <c:val>
            <c:numRef>
              <c:f>Analysis!$D$14:$D$18</c:f>
              <c:numCache>
                <c:formatCode>[$$-409]#,##0;[Red][$$-409]#,##0</c:formatCode>
                <c:ptCount val="4"/>
                <c:pt idx="0">
                  <c:v>6157932</c:v>
                </c:pt>
                <c:pt idx="1">
                  <c:v>6385719</c:v>
                </c:pt>
                <c:pt idx="2">
                  <c:v>6548493</c:v>
                </c:pt>
                <c:pt idx="3">
                  <c:v>6986660</c:v>
                </c:pt>
              </c:numCache>
            </c:numRef>
          </c:val>
          <c:smooth val="0"/>
          <c:extLst>
            <c:ext xmlns:c16="http://schemas.microsoft.com/office/drawing/2014/chart" uri="{C3380CC4-5D6E-409C-BE32-E72D297353CC}">
              <c16:uniqueId val="{00000000-E64B-42BB-8EEA-3F0EDAC93915}"/>
            </c:ext>
          </c:extLst>
        </c:ser>
        <c:dLbls>
          <c:showLegendKey val="0"/>
          <c:showVal val="0"/>
          <c:showCatName val="0"/>
          <c:showSerName val="0"/>
          <c:showPercent val="0"/>
          <c:showBubbleSize val="0"/>
        </c:dLbls>
        <c:marker val="1"/>
        <c:smooth val="0"/>
        <c:axId val="496383264"/>
        <c:axId val="496386624"/>
      </c:lineChart>
      <c:catAx>
        <c:axId val="496383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cap="all" spc="120" normalizeH="0" baseline="0">
                <a:solidFill>
                  <a:schemeClr val="tx1">
                    <a:lumMod val="65000"/>
                    <a:lumOff val="35000"/>
                  </a:schemeClr>
                </a:solidFill>
                <a:latin typeface="+mn-lt"/>
                <a:ea typeface="+mn-ea"/>
                <a:cs typeface="+mn-cs"/>
              </a:defRPr>
            </a:pPr>
            <a:endParaRPr lang="en-US"/>
          </a:p>
        </c:txPr>
        <c:crossAx val="496386624"/>
        <c:crosses val="autoZero"/>
        <c:auto val="1"/>
        <c:lblAlgn val="ctr"/>
        <c:lblOffset val="100"/>
        <c:noMultiLvlLbl val="0"/>
      </c:catAx>
      <c:valAx>
        <c:axId val="496386624"/>
        <c:scaling>
          <c:orientation val="minMax"/>
        </c:scaling>
        <c:delete val="0"/>
        <c:axPos val="l"/>
        <c:numFmt formatCode="[$$-409]#,##0;[Red][$$-409]#,##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383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[Pharmaceutical_Sales_analysis.csv.xlsx]Analysis!PivotTable4</c:name>
    <c:fmtId val="2"/>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Bahnschrift SemiBold SemiConden" panose="020B0502040204020203" pitchFamily="34" charset="0"/>
                <a:ea typeface="+mn-ea"/>
                <a:cs typeface="+mn-cs"/>
              </a:defRPr>
            </a:pPr>
            <a:r>
              <a:rPr lang="en-US">
                <a:latin typeface="Bahnschrift SemiBold SemiConden" panose="020B0502040204020203" pitchFamily="34" charset="0"/>
              </a:rPr>
              <a:t>REVENUE BY CUSTOMER-TYPE</a:t>
            </a: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Bahnschrift SemiBold SemiConden" panose="020B0502040204020203" pitchFamily="34" charset="0"/>
              <a:ea typeface="+mn-ea"/>
              <a:cs typeface="+mn-cs"/>
            </a:defRPr>
          </a:pPr>
          <a:endParaRPr lang="en-US"/>
        </a:p>
      </c:txPr>
    </c:title>
    <c:autoTitleDeleted val="0"/>
    <c:pivotFmts>
      <c:pivotFmt>
        <c:idx val="0"/>
        <c:spPr>
          <a:noFill/>
          <a:ln w="25400" cap="flat" cmpd="sng" algn="ctr">
            <a:solidFill>
              <a:schemeClr val="accent1"/>
            </a:solidFill>
            <a:miter lim="800000"/>
          </a:ln>
          <a:effectLst/>
        </c:spPr>
        <c:marker>
          <c:symbol val="circle"/>
          <c:size val="6"/>
          <c:spPr>
            <a:noFill/>
            <a:ln w="19050" cap="rnd">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Analysis!$J$4</c:f>
              <c:strCache>
                <c:ptCount val="1"/>
                <c:pt idx="0">
                  <c:v>Total</c:v>
                </c:pt>
              </c:strCache>
            </c:strRef>
          </c:tx>
          <c:spPr>
            <a:noFill/>
            <a:ln w="25400" cap="flat" cmpd="sng" algn="ctr">
              <a:solidFill>
                <a:schemeClr val="accent1"/>
              </a:solidFill>
              <a:miter lim="800000"/>
            </a:ln>
            <a:effectLst/>
          </c:spPr>
          <c:invertIfNegative val="0"/>
          <c:cat>
            <c:strRef>
              <c:f>Analysis!$I$5:$I$10</c:f>
              <c:strCache>
                <c:ptCount val="5"/>
                <c:pt idx="0">
                  <c:v>Clinics</c:v>
                </c:pt>
                <c:pt idx="1">
                  <c:v>Hospitals</c:v>
                </c:pt>
                <c:pt idx="2">
                  <c:v>Online Pharmacy</c:v>
                </c:pt>
                <c:pt idx="3">
                  <c:v>Pharmacy</c:v>
                </c:pt>
                <c:pt idx="4">
                  <c:v>Supermarkets</c:v>
                </c:pt>
              </c:strCache>
            </c:strRef>
          </c:cat>
          <c:val>
            <c:numRef>
              <c:f>Analysis!$J$5:$J$10</c:f>
              <c:numCache>
                <c:formatCode>[$$-409]#,##0;[Red][$$-409]#,##0</c:formatCode>
                <c:ptCount val="5"/>
                <c:pt idx="0">
                  <c:v>5311106</c:v>
                </c:pt>
                <c:pt idx="1">
                  <c:v>4965590</c:v>
                </c:pt>
                <c:pt idx="2">
                  <c:v>5203717</c:v>
                </c:pt>
                <c:pt idx="3">
                  <c:v>6019543</c:v>
                </c:pt>
                <c:pt idx="4">
                  <c:v>4578848</c:v>
                </c:pt>
              </c:numCache>
            </c:numRef>
          </c:val>
          <c:extLst>
            <c:ext xmlns:c16="http://schemas.microsoft.com/office/drawing/2014/chart" uri="{C3380CC4-5D6E-409C-BE32-E72D297353CC}">
              <c16:uniqueId val="{00000000-F362-476C-9157-5E226C8BC378}"/>
            </c:ext>
          </c:extLst>
        </c:ser>
        <c:dLbls>
          <c:showLegendKey val="0"/>
          <c:showVal val="0"/>
          <c:showCatName val="0"/>
          <c:showSerName val="0"/>
          <c:showPercent val="0"/>
          <c:showBubbleSize val="0"/>
        </c:dLbls>
        <c:gapWidth val="164"/>
        <c:overlap val="-35"/>
        <c:axId val="1850757904"/>
        <c:axId val="1850743984"/>
      </c:barChart>
      <c:catAx>
        <c:axId val="1850757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50000"/>
                    <a:lumOff val="50000"/>
                  </a:schemeClr>
                </a:solidFill>
                <a:latin typeface="+mn-lt"/>
                <a:ea typeface="+mn-ea"/>
                <a:cs typeface="+mn-cs"/>
              </a:defRPr>
            </a:pPr>
            <a:endParaRPr lang="en-US"/>
          </a:p>
        </c:txPr>
        <c:crossAx val="1850743984"/>
        <c:crosses val="autoZero"/>
        <c:auto val="1"/>
        <c:lblAlgn val="ctr"/>
        <c:lblOffset val="100"/>
        <c:noMultiLvlLbl val="0"/>
      </c:catAx>
      <c:valAx>
        <c:axId val="1850743984"/>
        <c:scaling>
          <c:orientation val="minMax"/>
        </c:scaling>
        <c:delete val="0"/>
        <c:axPos val="l"/>
        <c:numFmt formatCode="[$$-409]#,##0;[Red][$$-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5075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[Pharmaceutical_Sales_analysis.csv.xlsx]Analysis!PivotTable3</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revenue by drug</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marker>
          <c:symbol val="circle"/>
          <c:size val="6"/>
          <c:spPr>
            <a:solidFill>
              <a:schemeClr val="dk1">
                <a:tint val="885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Analysis!$G$4</c:f>
              <c:strCache>
                <c:ptCount val="1"/>
                <c:pt idx="0">
                  <c:v>Total</c:v>
                </c:pt>
              </c:strCache>
            </c:strRef>
          </c:tx>
          <c:spPr>
            <a:pattFill prst="narHorz">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invertIfNegative val="0"/>
          <c:cat>
            <c:strRef>
              <c:f>Analysis!$F$5:$F$10</c:f>
              <c:strCache>
                <c:ptCount val="5"/>
                <c:pt idx="0">
                  <c:v>Drug A</c:v>
                </c:pt>
                <c:pt idx="1">
                  <c:v>Drug B</c:v>
                </c:pt>
                <c:pt idx="2">
                  <c:v>Drug C</c:v>
                </c:pt>
                <c:pt idx="3">
                  <c:v>Drug D</c:v>
                </c:pt>
                <c:pt idx="4">
                  <c:v>Drug E</c:v>
                </c:pt>
              </c:strCache>
            </c:strRef>
          </c:cat>
          <c:val>
            <c:numRef>
              <c:f>Analysis!$G$5:$G$10</c:f>
              <c:numCache>
                <c:formatCode>[$$-409]#,##0;[Red][$$-409]#,##0</c:formatCode>
                <c:ptCount val="5"/>
                <c:pt idx="0">
                  <c:v>5196471</c:v>
                </c:pt>
                <c:pt idx="1">
                  <c:v>5767109</c:v>
                </c:pt>
                <c:pt idx="2">
                  <c:v>5259455</c:v>
                </c:pt>
                <c:pt idx="3">
                  <c:v>5092952</c:v>
                </c:pt>
                <c:pt idx="4">
                  <c:v>4762817</c:v>
                </c:pt>
              </c:numCache>
            </c:numRef>
          </c:val>
          <c:extLst>
            <c:ext xmlns:c16="http://schemas.microsoft.com/office/drawing/2014/chart" uri="{C3380CC4-5D6E-409C-BE32-E72D297353CC}">
              <c16:uniqueId val="{00000000-61BF-486D-8B7A-AD615FFE5B70}"/>
            </c:ext>
          </c:extLst>
        </c:ser>
        <c:dLbls>
          <c:showLegendKey val="0"/>
          <c:showVal val="0"/>
          <c:showCatName val="0"/>
          <c:showSerName val="0"/>
          <c:showPercent val="0"/>
          <c:showBubbleSize val="0"/>
        </c:dLbls>
        <c:gapWidth val="164"/>
        <c:overlap val="-22"/>
        <c:axId val="97207568"/>
        <c:axId val="97219088"/>
      </c:barChart>
      <c:catAx>
        <c:axId val="9720756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97219088"/>
        <c:crosses val="autoZero"/>
        <c:auto val="1"/>
        <c:lblAlgn val="ctr"/>
        <c:lblOffset val="100"/>
        <c:noMultiLvlLbl val="0"/>
      </c:catAx>
      <c:valAx>
        <c:axId val="97219088"/>
        <c:scaling>
          <c:orientation val="minMax"/>
        </c:scaling>
        <c:delete val="0"/>
        <c:axPos val="l"/>
        <c:numFmt formatCode="[$$-409]#,##0;[Red][$$-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0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[Pharmaceutical_Sales_analysis.csv.xlsx]Analysis!PivotTable2</c:name>
    <c:fmtId val="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REVENUE BY DRUG</a:t>
            </a:r>
          </a:p>
        </c:rich>
      </c:tx>
      <c:layout>
        <c:manualLayout>
          <c:xMode val="edge"/>
          <c:yMode val="edge"/>
          <c:x val="0.34364566929133861"/>
          <c:y val="6.3794109069699623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diamond"/>
          <c:size val="6"/>
          <c:spPr>
            <a:solidFill>
              <a:schemeClr val="accent4"/>
            </a:solidFill>
            <a:ln w="9525">
              <a:solidFill>
                <a:schemeClr val="accent4"/>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Analysis!$D$4</c:f>
              <c:strCache>
                <c:ptCount val="1"/>
                <c:pt idx="0">
                  <c:v>Total</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Analysis!$C$5:$C$10</c:f>
              <c:strCache>
                <c:ptCount val="5"/>
                <c:pt idx="0">
                  <c:v>Africa</c:v>
                </c:pt>
                <c:pt idx="1">
                  <c:v>Asia</c:v>
                </c:pt>
                <c:pt idx="2">
                  <c:v>Europe</c:v>
                </c:pt>
                <c:pt idx="3">
                  <c:v>North America</c:v>
                </c:pt>
                <c:pt idx="4">
                  <c:v>South America</c:v>
                </c:pt>
              </c:strCache>
            </c:strRef>
          </c:cat>
          <c:val>
            <c:numRef>
              <c:f>Analysis!$D$5:$D$10</c:f>
              <c:numCache>
                <c:formatCode>[$$-409]#,##0;[Red][$$-409]#,##0</c:formatCode>
                <c:ptCount val="5"/>
                <c:pt idx="0">
                  <c:v>4627135</c:v>
                </c:pt>
                <c:pt idx="1">
                  <c:v>4809529</c:v>
                </c:pt>
                <c:pt idx="2">
                  <c:v>5027740</c:v>
                </c:pt>
                <c:pt idx="3">
                  <c:v>5367445</c:v>
                </c:pt>
                <c:pt idx="4">
                  <c:v>6246955</c:v>
                </c:pt>
              </c:numCache>
            </c:numRef>
          </c:val>
          <c:extLst>
            <c:ext xmlns:c16="http://schemas.microsoft.com/office/drawing/2014/chart" uri="{C3380CC4-5D6E-409C-BE32-E72D297353CC}">
              <c16:uniqueId val="{00000000-4324-42E6-A4DA-BE181FF3D7D0}"/>
            </c:ext>
          </c:extLst>
        </c:ser>
        <c:dLbls>
          <c:dLblPos val="outEnd"/>
          <c:showLegendKey val="0"/>
          <c:showVal val="1"/>
          <c:showCatName val="0"/>
          <c:showSerName val="0"/>
          <c:showPercent val="0"/>
          <c:showBubbleSize val="0"/>
        </c:dLbls>
        <c:gapWidth val="444"/>
        <c:overlap val="-90"/>
        <c:axId val="97203728"/>
        <c:axId val="97202288"/>
      </c:barChart>
      <c:catAx>
        <c:axId val="97203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all" spc="120" normalizeH="0" baseline="0">
                <a:solidFill>
                  <a:schemeClr val="tx1">
                    <a:lumMod val="65000"/>
                    <a:lumOff val="35000"/>
                  </a:schemeClr>
                </a:solidFill>
                <a:latin typeface="+mn-lt"/>
                <a:ea typeface="+mn-ea"/>
                <a:cs typeface="+mn-cs"/>
              </a:defRPr>
            </a:pPr>
            <a:endParaRPr lang="en-US"/>
          </a:p>
        </c:txPr>
        <c:crossAx val="97202288"/>
        <c:crosses val="autoZero"/>
        <c:auto val="1"/>
        <c:lblAlgn val="ctr"/>
        <c:lblOffset val="100"/>
        <c:noMultiLvlLbl val="0"/>
      </c:catAx>
      <c:valAx>
        <c:axId val="97202288"/>
        <c:scaling>
          <c:orientation val="minMax"/>
        </c:scaling>
        <c:delete val="1"/>
        <c:axPos val="l"/>
        <c:numFmt formatCode="[$$-409]#,##0;[Red][$$-409]#,##0" sourceLinked="1"/>
        <c:majorTickMark val="none"/>
        <c:minorTickMark val="none"/>
        <c:tickLblPos val="nextTo"/>
        <c:crossAx val="97203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139700</xdr:colOff>
      <xdr:row>20</xdr:row>
      <xdr:rowOff>120650</xdr:rowOff>
    </xdr:from>
    <xdr:to>
      <xdr:col>5</xdr:col>
      <xdr:colOff>673100</xdr:colOff>
      <xdr:row>35</xdr:row>
      <xdr:rowOff>101600</xdr:rowOff>
    </xdr:to>
    <xdr:graphicFrame macro="">
      <xdr:nvGraphicFramePr>
        <xdr:cNvPr id="10" name="Chart 9">
          <a:extLst>
            <a:ext uri="{FF2B5EF4-FFF2-40B4-BE49-F238E27FC236}">
              <a16:creationId xmlns:a16="http://schemas.microsoft.com/office/drawing/2014/main" id="{CDBAE7DB-8675-B941-C9CB-85931B4158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590724</xdr:colOff>
      <xdr:row>35</xdr:row>
      <xdr:rowOff>151442</xdr:rowOff>
    </xdr:from>
    <xdr:to>
      <xdr:col>13</xdr:col>
      <xdr:colOff>41492</xdr:colOff>
      <xdr:row>50</xdr:row>
      <xdr:rowOff>25921</xdr:rowOff>
    </xdr:to>
    <xdr:graphicFrame macro="">
      <xdr:nvGraphicFramePr>
        <xdr:cNvPr id="11" name="Chart 10">
          <a:extLst>
            <a:ext uri="{FF2B5EF4-FFF2-40B4-BE49-F238E27FC236}">
              <a16:creationId xmlns:a16="http://schemas.microsoft.com/office/drawing/2014/main" id="{66A557E0-312F-9B6A-CB6B-FF6A1E04DF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44450</xdr:colOff>
      <xdr:row>20</xdr:row>
      <xdr:rowOff>69850</xdr:rowOff>
    </xdr:from>
    <xdr:to>
      <xdr:col>10</xdr:col>
      <xdr:colOff>514350</xdr:colOff>
      <xdr:row>35</xdr:row>
      <xdr:rowOff>171450</xdr:rowOff>
    </xdr:to>
    <xdr:graphicFrame macro="">
      <xdr:nvGraphicFramePr>
        <xdr:cNvPr id="12" name="Chart 11">
          <a:extLst>
            <a:ext uri="{FF2B5EF4-FFF2-40B4-BE49-F238E27FC236}">
              <a16:creationId xmlns:a16="http://schemas.microsoft.com/office/drawing/2014/main" id="{7EC8B089-8CB6-F6B3-D151-07DCBA1EBC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838461</xdr:colOff>
      <xdr:row>36</xdr:row>
      <xdr:rowOff>164579</xdr:rowOff>
    </xdr:from>
    <xdr:to>
      <xdr:col>7</xdr:col>
      <xdr:colOff>901961</xdr:colOff>
      <xdr:row>49</xdr:row>
      <xdr:rowOff>70807</xdr:rowOff>
    </xdr:to>
    <xdr:graphicFrame macro="">
      <xdr:nvGraphicFramePr>
        <xdr:cNvPr id="2" name="Chart 1">
          <a:extLst>
            <a:ext uri="{FF2B5EF4-FFF2-40B4-BE49-F238E27FC236}">
              <a16:creationId xmlns:a16="http://schemas.microsoft.com/office/drawing/2014/main" id="{D405C4B9-25B8-8876-6161-18A2330FEC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10440</xdr:colOff>
      <xdr:row>50</xdr:row>
      <xdr:rowOff>46276</xdr:rowOff>
    </xdr:from>
    <xdr:to>
      <xdr:col>9</xdr:col>
      <xdr:colOff>859426</xdr:colOff>
      <xdr:row>65</xdr:row>
      <xdr:rowOff>49408</xdr:rowOff>
    </xdr:to>
    <xdr:graphicFrame macro="">
      <xdr:nvGraphicFramePr>
        <xdr:cNvPr id="3" name="Chart 2">
          <a:extLst>
            <a:ext uri="{FF2B5EF4-FFF2-40B4-BE49-F238E27FC236}">
              <a16:creationId xmlns:a16="http://schemas.microsoft.com/office/drawing/2014/main" id="{65FE1BF8-9649-6DD1-5112-8A10EF1B6C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38</xdr:col>
      <xdr:colOff>71435</xdr:colOff>
      <xdr:row>28</xdr:row>
      <xdr:rowOff>76199</xdr:rowOff>
    </xdr:from>
    <xdr:to>
      <xdr:col>47</xdr:col>
      <xdr:colOff>349249</xdr:colOff>
      <xdr:row>45</xdr:row>
      <xdr:rowOff>163512</xdr:rowOff>
    </xdr:to>
    <xdr:graphicFrame macro="">
      <xdr:nvGraphicFramePr>
        <xdr:cNvPr id="2" name="Chart 6">
          <a:extLst>
            <a:ext uri="{FF2B5EF4-FFF2-40B4-BE49-F238E27FC236}">
              <a16:creationId xmlns:a16="http://schemas.microsoft.com/office/drawing/2014/main" id="{A73672DE-2CD3-B25B-4E1A-9942DFDC02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206373</xdr:colOff>
      <xdr:row>6</xdr:row>
      <xdr:rowOff>112710</xdr:rowOff>
    </xdr:from>
    <xdr:to>
      <xdr:col>47</xdr:col>
      <xdr:colOff>523875</xdr:colOff>
      <xdr:row>27</xdr:row>
      <xdr:rowOff>71438</xdr:rowOff>
    </xdr:to>
    <xdr:graphicFrame macro="">
      <xdr:nvGraphicFramePr>
        <xdr:cNvPr id="3" name="Chart 7">
          <a:extLst>
            <a:ext uri="{FF2B5EF4-FFF2-40B4-BE49-F238E27FC236}">
              <a16:creationId xmlns:a16="http://schemas.microsoft.com/office/drawing/2014/main" id="{530C70E7-6128-4D8D-5B86-175AEFF625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14</xdr:row>
      <xdr:rowOff>119062</xdr:rowOff>
    </xdr:from>
    <xdr:to>
      <xdr:col>37</xdr:col>
      <xdr:colOff>55563</xdr:colOff>
      <xdr:row>32</xdr:row>
      <xdr:rowOff>134937</xdr:rowOff>
    </xdr:to>
    <xdr:graphicFrame macro="">
      <xdr:nvGraphicFramePr>
        <xdr:cNvPr id="4" name="Chart 5">
          <a:extLst>
            <a:ext uri="{FF2B5EF4-FFF2-40B4-BE49-F238E27FC236}">
              <a16:creationId xmlns:a16="http://schemas.microsoft.com/office/drawing/2014/main" id="{5FE5AACB-305D-FBA3-B836-4E60464600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47</xdr:col>
      <xdr:colOff>468313</xdr:colOff>
      <xdr:row>29</xdr:row>
      <xdr:rowOff>130175</xdr:rowOff>
    </xdr:from>
    <xdr:to>
      <xdr:col>55</xdr:col>
      <xdr:colOff>246063</xdr:colOff>
      <xdr:row>47</xdr:row>
      <xdr:rowOff>79375</xdr:rowOff>
    </xdr:to>
    <xdr:graphicFrame macro="">
      <xdr:nvGraphicFramePr>
        <xdr:cNvPr id="5" name="Chart 4">
          <a:extLst>
            <a:ext uri="{FF2B5EF4-FFF2-40B4-BE49-F238E27FC236}">
              <a16:creationId xmlns:a16="http://schemas.microsoft.com/office/drawing/2014/main" id="{B5DDFE0C-B983-6408-248E-4A97C86ACA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42862</xdr:colOff>
      <xdr:row>33</xdr:row>
      <xdr:rowOff>28575</xdr:rowOff>
    </xdr:from>
    <xdr:to>
      <xdr:col>36</xdr:col>
      <xdr:colOff>127000</xdr:colOff>
      <xdr:row>48</xdr:row>
      <xdr:rowOff>9525</xdr:rowOff>
    </xdr:to>
    <xdr:graphicFrame macro="">
      <xdr:nvGraphicFramePr>
        <xdr:cNvPr id="6" name="Chart 3">
          <a:extLst>
            <a:ext uri="{FF2B5EF4-FFF2-40B4-BE49-F238E27FC236}">
              <a16:creationId xmlns:a16="http://schemas.microsoft.com/office/drawing/2014/main" id="{6C2A43DA-D2FA-5FBB-06CE-58895312F2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6350</xdr:colOff>
      <xdr:row>6</xdr:row>
      <xdr:rowOff>44450</xdr:rowOff>
    </xdr:from>
    <xdr:to>
      <xdr:col>19</xdr:col>
      <xdr:colOff>12700</xdr:colOff>
      <xdr:row>13</xdr:row>
      <xdr:rowOff>0</xdr:rowOff>
    </xdr:to>
    <xdr:sp macro="" textlink="">
      <xdr:nvSpPr>
        <xdr:cNvPr id="12" name="Rectangle: Rounded Corners 11">
          <a:extLst>
            <a:ext uri="{FF2B5EF4-FFF2-40B4-BE49-F238E27FC236}">
              <a16:creationId xmlns:a16="http://schemas.microsoft.com/office/drawing/2014/main" id="{7E190688-F467-3D0D-B239-9F3B3EFF9C6D}"/>
            </a:ext>
          </a:extLst>
        </xdr:cNvPr>
        <xdr:cNvSpPr/>
      </xdr:nvSpPr>
      <xdr:spPr>
        <a:xfrm>
          <a:off x="539750" y="939800"/>
          <a:ext cx="2006600" cy="8890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6350</xdr:colOff>
      <xdr:row>6</xdr:row>
      <xdr:rowOff>44450</xdr:rowOff>
    </xdr:from>
    <xdr:to>
      <xdr:col>37</xdr:col>
      <xdr:colOff>12700</xdr:colOff>
      <xdr:row>13</xdr:row>
      <xdr:rowOff>0</xdr:rowOff>
    </xdr:to>
    <xdr:sp macro="" textlink="">
      <xdr:nvSpPr>
        <xdr:cNvPr id="15" name="Rectangle: Rounded Corners 14">
          <a:extLst>
            <a:ext uri="{FF2B5EF4-FFF2-40B4-BE49-F238E27FC236}">
              <a16:creationId xmlns:a16="http://schemas.microsoft.com/office/drawing/2014/main" id="{40875867-A0ED-4AD5-B8DE-B18C6AEE25F2}"/>
            </a:ext>
          </a:extLst>
        </xdr:cNvPr>
        <xdr:cNvSpPr/>
      </xdr:nvSpPr>
      <xdr:spPr>
        <a:xfrm>
          <a:off x="539750" y="939800"/>
          <a:ext cx="2006600" cy="8890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49</xdr:col>
      <xdr:colOff>195263</xdr:colOff>
      <xdr:row>1</xdr:row>
      <xdr:rowOff>95250</xdr:rowOff>
    </xdr:from>
    <xdr:to>
      <xdr:col>52</xdr:col>
      <xdr:colOff>190500</xdr:colOff>
      <xdr:row>15</xdr:row>
      <xdr:rowOff>79376</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36FE7958-4175-BD39-5160-E1F5E44A85A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292013" y="230188"/>
              <a:ext cx="1828800" cy="1785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52</xdr:col>
      <xdr:colOff>441326</xdr:colOff>
      <xdr:row>1</xdr:row>
      <xdr:rowOff>177800</xdr:rowOff>
    </xdr:from>
    <xdr:to>
      <xdr:col>55</xdr:col>
      <xdr:colOff>476250</xdr:colOff>
      <xdr:row>13</xdr:row>
      <xdr:rowOff>127001</xdr:rowOff>
    </xdr:to>
    <mc:AlternateContent xmlns:mc="http://schemas.openxmlformats.org/markup-compatibility/2006" xmlns:a14="http://schemas.microsoft.com/office/drawing/2010/main">
      <mc:Choice Requires="a14">
        <xdr:graphicFrame macro="">
          <xdr:nvGraphicFramePr>
            <xdr:cNvPr id="19" name="Quarters (Sale Date)">
              <a:extLst>
                <a:ext uri="{FF2B5EF4-FFF2-40B4-BE49-F238E27FC236}">
                  <a16:creationId xmlns:a16="http://schemas.microsoft.com/office/drawing/2014/main" id="{5BA8E315-6E01-F4B4-CA06-B9A279340644}"/>
                </a:ext>
              </a:extLst>
            </xdr:cNvPr>
            <xdr:cNvGraphicFramePr/>
          </xdr:nvGraphicFramePr>
          <xdr:xfrm>
            <a:off x="0" y="0"/>
            <a:ext cx="0" cy="0"/>
          </xdr:xfrm>
          <a:graphic>
            <a:graphicData uri="http://schemas.microsoft.com/office/drawing/2010/slicer">
              <sle:slicer xmlns:sle="http://schemas.microsoft.com/office/drawing/2010/slicer" name="Quarters (Sale Date)"/>
            </a:graphicData>
          </a:graphic>
        </xdr:graphicFrame>
      </mc:Choice>
      <mc:Fallback xmlns="">
        <xdr:sp macro="" textlink="">
          <xdr:nvSpPr>
            <xdr:cNvPr id="0" name=""/>
            <xdr:cNvSpPr>
              <a:spLocks noTextEdit="1"/>
            </xdr:cNvSpPr>
          </xdr:nvSpPr>
          <xdr:spPr>
            <a:xfrm>
              <a:off x="14371639" y="312738"/>
              <a:ext cx="1868486" cy="14811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48</xdr:col>
      <xdr:colOff>266699</xdr:colOff>
      <xdr:row>17</xdr:row>
      <xdr:rowOff>47626</xdr:rowOff>
    </xdr:from>
    <xdr:to>
      <xdr:col>51</xdr:col>
      <xdr:colOff>261937</xdr:colOff>
      <xdr:row>26</xdr:row>
      <xdr:rowOff>150813</xdr:rowOff>
    </xdr:to>
    <mc:AlternateContent xmlns:mc="http://schemas.openxmlformats.org/markup-compatibility/2006" xmlns:a14="http://schemas.microsoft.com/office/drawing/2010/main">
      <mc:Choice Requires="a14">
        <xdr:graphicFrame macro="">
          <xdr:nvGraphicFramePr>
            <xdr:cNvPr id="20" name="Customer Type">
              <a:extLst>
                <a:ext uri="{FF2B5EF4-FFF2-40B4-BE49-F238E27FC236}">
                  <a16:creationId xmlns:a16="http://schemas.microsoft.com/office/drawing/2014/main" id="{A4FF69C1-0B34-1EBE-BB62-18E036454869}"/>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1752262" y="2254251"/>
              <a:ext cx="1828800" cy="1746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51</xdr:col>
      <xdr:colOff>528637</xdr:colOff>
      <xdr:row>16</xdr:row>
      <xdr:rowOff>47626</xdr:rowOff>
    </xdr:from>
    <xdr:to>
      <xdr:col>54</xdr:col>
      <xdr:colOff>523874</xdr:colOff>
      <xdr:row>26</xdr:row>
      <xdr:rowOff>23814</xdr:rowOff>
    </xdr:to>
    <mc:AlternateContent xmlns:mc="http://schemas.openxmlformats.org/markup-compatibility/2006" xmlns:a14="http://schemas.microsoft.com/office/drawing/2010/main">
      <mc:Choice Requires="a14">
        <xdr:graphicFrame macro="">
          <xdr:nvGraphicFramePr>
            <xdr:cNvPr id="21" name="Drug Name">
              <a:extLst>
                <a:ext uri="{FF2B5EF4-FFF2-40B4-BE49-F238E27FC236}">
                  <a16:creationId xmlns:a16="http://schemas.microsoft.com/office/drawing/2014/main" id="{32589524-0951-E939-DAF3-B458D6792F15}"/>
                </a:ext>
              </a:extLst>
            </xdr:cNvPr>
            <xdr:cNvGraphicFramePr/>
          </xdr:nvGraphicFramePr>
          <xdr:xfrm>
            <a:off x="0" y="0"/>
            <a:ext cx="0" cy="0"/>
          </xdr:xfrm>
          <a:graphic>
            <a:graphicData uri="http://schemas.microsoft.com/office/drawing/2010/slicer">
              <sle:slicer xmlns:sle="http://schemas.microsoft.com/office/drawing/2010/slicer" name="Drug Name"/>
            </a:graphicData>
          </a:graphic>
        </xdr:graphicFrame>
      </mc:Choice>
      <mc:Fallback xmlns="">
        <xdr:sp macro="" textlink="">
          <xdr:nvSpPr>
            <xdr:cNvPr id="0" name=""/>
            <xdr:cNvSpPr>
              <a:spLocks noTextEdit="1"/>
            </xdr:cNvSpPr>
          </xdr:nvSpPr>
          <xdr:spPr>
            <a:xfrm>
              <a:off x="13847762" y="2119314"/>
              <a:ext cx="1828800" cy="17541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nshi" refreshedDate="46267.005376157409" createdVersion="8" refreshedVersion="8" minRefreshableVersion="3" recordCount="1000" xr:uid="{42A0E17B-0933-43C5-89EF-292FAAB6A360}">
  <cacheSource type="worksheet">
    <worksheetSource ref="A1:O1001" sheet="Raw Data"/>
  </cacheSource>
  <cacheFields count="15">
    <cacheField name="Drug Name" numFmtId="0">
      <sharedItems count="5">
        <s v="Drug B"/>
        <s v="Drug E"/>
        <s v="Drug C"/>
        <s v="Drug A"/>
        <s v="Drug D"/>
      </sharedItems>
    </cacheField>
    <cacheField name="Manufacturer" numFmtId="0">
      <sharedItems/>
    </cacheField>
    <cacheField name="Dosage Form" numFmtId="0">
      <sharedItems/>
    </cacheField>
    <cacheField name="Strength" numFmtId="0">
      <sharedItems/>
    </cacheField>
    <cacheField name="Package Size" numFmtId="0">
      <sharedItems containsMixedTypes="1" containsNumber="1" containsInteger="1" minValue="30" maxValue="60"/>
    </cacheField>
    <cacheField name="Units Sold" numFmtId="166">
      <sharedItems containsSemiMixedTypes="0" containsString="0" containsNumber="1" containsInteger="1" minValue="100" maxValue="1999"/>
    </cacheField>
    <cacheField name="Revenue" numFmtId="2">
      <sharedItems/>
    </cacheField>
    <cacheField name="Sale Date" numFmtId="14">
      <sharedItems containsSemiMixedTypes="0" containsNonDate="0" containsDate="1" containsString="0" minDate="2023-07-29T00:00:00" maxDate="2024-07-29T00:00:00" count="342">
        <d v="2024-02-07T00:00:00"/>
        <d v="2023-08-08T00:00:00"/>
        <d v="2024-06-15T00:00:00"/>
        <d v="2024-07-15T00:00:00"/>
        <d v="2023-08-13T00:00:00"/>
        <d v="2023-12-05T00:00:00"/>
        <d v="2023-12-30T00:00:00"/>
        <d v="2023-11-14T00:00:00"/>
        <d v="2024-05-23T00:00:00"/>
        <d v="2024-05-18T00:00:00"/>
        <d v="2023-11-08T00:00:00"/>
        <d v="2023-08-19T00:00:00"/>
        <d v="2024-07-08T00:00:00"/>
        <d v="2023-12-03T00:00:00"/>
        <d v="2024-07-13T00:00:00"/>
        <d v="2023-08-22T00:00:00"/>
        <d v="2024-02-27T00:00:00"/>
        <d v="2024-01-12T00:00:00"/>
        <d v="2024-01-24T00:00:00"/>
        <d v="2024-01-08T00:00:00"/>
        <d v="2024-03-15T00:00:00"/>
        <d v="2024-05-25T00:00:00"/>
        <d v="2023-09-03T00:00:00"/>
        <d v="2024-03-20T00:00:00"/>
        <d v="2024-01-22T00:00:00"/>
        <d v="2023-12-04T00:00:00"/>
        <d v="2023-12-11T00:00:00"/>
        <d v="2024-07-22T00:00:00"/>
        <d v="2024-05-05T00:00:00"/>
        <d v="2023-10-12T00:00:00"/>
        <d v="2024-03-08T00:00:00"/>
        <d v="2024-06-27T00:00:00"/>
        <d v="2024-04-14T00:00:00"/>
        <d v="2024-01-04T00:00:00"/>
        <d v="2024-01-07T00:00:00"/>
        <d v="2024-06-16T00:00:00"/>
        <d v="2024-01-29T00:00:00"/>
        <d v="2023-10-02T00:00:00"/>
        <d v="2023-09-06T00:00:00"/>
        <d v="2023-09-12T00:00:00"/>
        <d v="2023-10-30T00:00:00"/>
        <d v="2023-09-21T00:00:00"/>
        <d v="2024-04-08T00:00:00"/>
        <d v="2023-11-07T00:00:00"/>
        <d v="2024-05-21T00:00:00"/>
        <d v="2024-02-04T00:00:00"/>
        <d v="2023-12-27T00:00:00"/>
        <d v="2023-08-21T00:00:00"/>
        <d v="2024-07-25T00:00:00"/>
        <d v="2023-11-12T00:00:00"/>
        <d v="2023-12-08T00:00:00"/>
        <d v="2023-11-13T00:00:00"/>
        <d v="2024-07-17T00:00:00"/>
        <d v="2023-09-29T00:00:00"/>
        <d v="2024-02-02T00:00:00"/>
        <d v="2023-09-15T00:00:00"/>
        <d v="2024-03-28T00:00:00"/>
        <d v="2024-01-01T00:00:00"/>
        <d v="2024-02-08T00:00:00"/>
        <d v="2023-11-30T00:00:00"/>
        <d v="2023-11-20T00:00:00"/>
        <d v="2024-03-26T00:00:00"/>
        <d v="2023-12-23T00:00:00"/>
        <d v="2024-04-23T00:00:00"/>
        <d v="2024-07-09T00:00:00"/>
        <d v="2023-11-18T00:00:00"/>
        <d v="2024-02-10T00:00:00"/>
        <d v="2024-07-03T00:00:00"/>
        <d v="2024-06-19T00:00:00"/>
        <d v="2024-06-14T00:00:00"/>
        <d v="2023-11-29T00:00:00"/>
        <d v="2023-09-23T00:00:00"/>
        <d v="2024-05-09T00:00:00"/>
        <d v="2023-07-29T00:00:00"/>
        <d v="2024-04-05T00:00:00"/>
        <d v="2024-03-17T00:00:00"/>
        <d v="2023-11-26T00:00:00"/>
        <d v="2024-02-21T00:00:00"/>
        <d v="2024-06-09T00:00:00"/>
        <d v="2024-07-27T00:00:00"/>
        <d v="2023-12-15T00:00:00"/>
        <d v="2024-02-11T00:00:00"/>
        <d v="2023-11-03T00:00:00"/>
        <d v="2024-04-13T00:00:00"/>
        <d v="2023-08-27T00:00:00"/>
        <d v="2024-06-10T00:00:00"/>
        <d v="2023-09-17T00:00:00"/>
        <d v="2023-10-07T00:00:00"/>
        <d v="2024-03-16T00:00:00"/>
        <d v="2024-07-20T00:00:00"/>
        <d v="2023-10-06T00:00:00"/>
        <d v="2023-10-23T00:00:00"/>
        <d v="2024-05-19T00:00:00"/>
        <d v="2023-10-18T00:00:00"/>
        <d v="2024-07-23T00:00:00"/>
        <d v="2024-01-31T00:00:00"/>
        <d v="2024-07-26T00:00:00"/>
        <d v="2024-07-02T00:00:00"/>
        <d v="2023-12-24T00:00:00"/>
        <d v="2023-12-06T00:00:00"/>
        <d v="2024-07-28T00:00:00"/>
        <d v="2023-12-02T00:00:00"/>
        <d v="2024-02-06T00:00:00"/>
        <d v="2024-03-05T00:00:00"/>
        <d v="2023-10-21T00:00:00"/>
        <d v="2024-03-11T00:00:00"/>
        <d v="2024-02-22T00:00:00"/>
        <d v="2024-05-13T00:00:00"/>
        <d v="2024-03-03T00:00:00"/>
        <d v="2023-10-20T00:00:00"/>
        <d v="2024-01-09T00:00:00"/>
        <d v="2023-09-16T00:00:00"/>
        <d v="2023-10-09T00:00:00"/>
        <d v="2024-03-10T00:00:00"/>
        <d v="2023-11-02T00:00:00"/>
        <d v="2024-01-13T00:00:00"/>
        <d v="2024-07-18T00:00:00"/>
        <d v="2023-08-12T00:00:00"/>
        <d v="2023-08-05T00:00:00"/>
        <d v="2023-12-14T00:00:00"/>
        <d v="2023-12-19T00:00:00"/>
        <d v="2024-05-14T00:00:00"/>
        <d v="2024-03-25T00:00:00"/>
        <d v="2024-03-14T00:00:00"/>
        <d v="2024-03-27T00:00:00"/>
        <d v="2023-08-31T00:00:00"/>
        <d v="2024-04-06T00:00:00"/>
        <d v="2023-08-10T00:00:00"/>
        <d v="2024-04-18T00:00:00"/>
        <d v="2024-07-12T00:00:00"/>
        <d v="2024-04-02T00:00:00"/>
        <d v="2023-08-30T00:00:00"/>
        <d v="2023-11-01T00:00:00"/>
        <d v="2023-08-26T00:00:00"/>
        <d v="2023-10-10T00:00:00"/>
        <d v="2024-04-29T00:00:00"/>
        <d v="2023-08-18T00:00:00"/>
        <d v="2023-08-04T00:00:00"/>
        <d v="2023-12-13T00:00:00"/>
        <d v="2024-01-10T00:00:00"/>
        <d v="2023-09-26T00:00:00"/>
        <d v="2024-05-08T00:00:00"/>
        <d v="2023-11-23T00:00:00"/>
        <d v="2024-04-26T00:00:00"/>
        <d v="2024-03-06T00:00:00"/>
        <d v="2024-05-10T00:00:00"/>
        <d v="2024-02-18T00:00:00"/>
        <d v="2023-12-01T00:00:00"/>
        <d v="2023-09-24T00:00:00"/>
        <d v="2024-01-30T00:00:00"/>
        <d v="2024-05-07T00:00:00"/>
        <d v="2024-06-24T00:00:00"/>
        <d v="2024-02-25T00:00:00"/>
        <d v="2023-10-05T00:00:00"/>
        <d v="2023-09-30T00:00:00"/>
        <d v="2023-11-10T00:00:00"/>
        <d v="2024-01-15T00:00:00"/>
        <d v="2023-10-24T00:00:00"/>
        <d v="2024-05-12T00:00:00"/>
        <d v="2024-01-11T00:00:00"/>
        <d v="2023-09-10T00:00:00"/>
        <d v="2024-04-21T00:00:00"/>
        <d v="2024-01-06T00:00:00"/>
        <d v="2023-08-28T00:00:00"/>
        <d v="2023-11-22T00:00:00"/>
        <d v="2023-10-01T00:00:00"/>
        <d v="2024-05-02T00:00:00"/>
        <d v="2023-12-16T00:00:00"/>
        <d v="2024-01-17T00:00:00"/>
        <d v="2023-12-25T00:00:00"/>
        <d v="2023-08-09T00:00:00"/>
        <d v="2023-07-30T00:00:00"/>
        <d v="2023-10-28T00:00:00"/>
        <d v="2024-06-13T00:00:00"/>
        <d v="2023-11-05T00:00:00"/>
        <d v="2024-03-07T00:00:00"/>
        <d v="2024-06-25T00:00:00"/>
        <d v="2023-11-25T00:00:00"/>
        <d v="2023-12-28T00:00:00"/>
        <d v="2024-01-20T00:00:00"/>
        <d v="2024-05-27T00:00:00"/>
        <d v="2023-09-11T00:00:00"/>
        <d v="2024-02-28T00:00:00"/>
        <d v="2024-06-11T00:00:00"/>
        <d v="2023-11-11T00:00:00"/>
        <d v="2024-01-19T00:00:00"/>
        <d v="2023-09-09T00:00:00"/>
        <d v="2024-07-11T00:00:00"/>
        <d v="2024-04-16T00:00:00"/>
        <d v="2024-01-26T00:00:00"/>
        <d v="2024-02-09T00:00:00"/>
        <d v="2024-03-31T00:00:00"/>
        <d v="2024-03-13T00:00:00"/>
        <d v="2024-05-11T00:00:00"/>
        <d v="2023-12-17T00:00:00"/>
        <d v="2024-02-15T00:00:00"/>
        <d v="2023-10-25T00:00:00"/>
        <d v="2024-04-07T00:00:00"/>
        <d v="2024-06-23T00:00:00"/>
        <d v="2023-10-17T00:00:00"/>
        <d v="2024-07-04T00:00:00"/>
        <d v="2024-04-12T00:00:00"/>
        <d v="2023-11-27T00:00:00"/>
        <d v="2023-08-15T00:00:00"/>
        <d v="2024-02-01T00:00:00"/>
        <d v="2023-10-22T00:00:00"/>
        <d v="2024-06-04T00:00:00"/>
        <d v="2024-01-05T00:00:00"/>
        <d v="2024-04-01T00:00:00"/>
        <d v="2024-07-19T00:00:00"/>
        <d v="2024-04-10T00:00:00"/>
        <d v="2023-12-22T00:00:00"/>
        <d v="2023-10-04T00:00:00"/>
        <d v="2024-06-26T00:00:00"/>
        <d v="2024-07-10T00:00:00"/>
        <d v="2023-09-13T00:00:00"/>
        <d v="2024-03-01T00:00:00"/>
        <d v="2023-12-09T00:00:00"/>
        <d v="2023-08-03T00:00:00"/>
        <d v="2024-04-22T00:00:00"/>
        <d v="2023-09-28T00:00:00"/>
        <d v="2024-02-23T00:00:00"/>
        <d v="2023-10-29T00:00:00"/>
        <d v="2024-02-17T00:00:00"/>
        <d v="2023-10-03T00:00:00"/>
        <d v="2024-04-04T00:00:00"/>
        <d v="2024-04-27T00:00:00"/>
        <d v="2024-03-24T00:00:00"/>
        <d v="2024-01-02T00:00:00"/>
        <d v="2024-07-24T00:00:00"/>
        <d v="2024-06-29T00:00:00"/>
        <d v="2023-09-22T00:00:00"/>
        <d v="2024-06-08T00:00:00"/>
        <d v="2023-08-16T00:00:00"/>
        <d v="2023-10-13T00:00:00"/>
        <d v="2023-10-14T00:00:00"/>
        <d v="2023-11-24T00:00:00"/>
        <d v="2024-01-14T00:00:00"/>
        <d v="2024-05-28T00:00:00"/>
        <d v="2023-11-21T00:00:00"/>
        <d v="2023-08-01T00:00:00"/>
        <d v="2023-11-04T00:00:00"/>
        <d v="2024-04-17T00:00:00"/>
        <d v="2024-06-20T00:00:00"/>
        <d v="2024-02-20T00:00:00"/>
        <d v="2023-08-29T00:00:00"/>
        <d v="2023-08-25T00:00:00"/>
        <d v="2024-03-12T00:00:00"/>
        <d v="2024-05-30T00:00:00"/>
        <d v="2024-04-19T00:00:00"/>
        <d v="2023-11-17T00:00:00"/>
        <d v="2023-12-31T00:00:00"/>
        <d v="2024-05-01T00:00:00"/>
        <d v="2024-01-25T00:00:00"/>
        <d v="2024-05-03T00:00:00"/>
        <d v="2023-10-11T00:00:00"/>
        <d v="2023-12-18T00:00:00"/>
        <d v="2023-08-06T00:00:00"/>
        <d v="2024-06-07T00:00:00"/>
        <d v="2024-03-21T00:00:00"/>
        <d v="2023-10-15T00:00:00"/>
        <d v="2024-06-06T00:00:00"/>
        <d v="2023-09-27T00:00:00"/>
        <d v="2024-07-16T00:00:00"/>
        <d v="2023-08-02T00:00:00"/>
        <d v="2023-08-24T00:00:00"/>
        <d v="2024-06-12T00:00:00"/>
        <d v="2023-10-08T00:00:00"/>
        <d v="2023-09-18T00:00:00"/>
        <d v="2024-05-22T00:00:00"/>
        <d v="2023-12-21T00:00:00"/>
        <d v="2023-12-26T00:00:00"/>
        <d v="2023-09-08T00:00:00"/>
        <d v="2023-11-09T00:00:00"/>
        <d v="2023-10-31T00:00:00"/>
        <d v="2023-12-20T00:00:00"/>
        <d v="2023-08-07T00:00:00"/>
        <d v="2023-08-20T00:00:00"/>
        <d v="2024-04-03T00:00:00"/>
        <d v="2024-06-02T00:00:00"/>
        <d v="2023-09-19T00:00:00"/>
        <d v="2024-04-09T00:00:00"/>
        <d v="2024-06-30T00:00:00"/>
        <d v="2023-10-16T00:00:00"/>
        <d v="2024-06-28T00:00:00"/>
        <d v="2023-10-26T00:00:00"/>
        <d v="2024-02-29T00:00:00"/>
        <d v="2023-12-29T00:00:00"/>
        <d v="2024-03-29T00:00:00"/>
        <d v="2023-10-19T00:00:00"/>
        <d v="2024-05-15T00:00:00"/>
        <d v="2023-09-25T00:00:00"/>
        <d v="2023-11-19T00:00:00"/>
        <d v="2024-05-04T00:00:00"/>
        <d v="2023-12-12T00:00:00"/>
        <d v="2024-01-28T00:00:00"/>
        <d v="2024-04-11T00:00:00"/>
        <d v="2024-06-05T00:00:00"/>
        <d v="2024-01-23T00:00:00"/>
        <d v="2024-03-23T00:00:00"/>
        <d v="2024-07-07T00:00:00"/>
        <d v="2024-03-30T00:00:00"/>
        <d v="2024-03-09T00:00:00"/>
        <d v="2024-06-22T00:00:00"/>
        <d v="2024-04-24T00:00:00"/>
        <d v="2023-09-04T00:00:00"/>
        <d v="2024-05-29T00:00:00"/>
        <d v="2024-04-28T00:00:00"/>
        <d v="2024-02-26T00:00:00"/>
        <d v="2024-02-13T00:00:00"/>
        <d v="2024-05-31T00:00:00"/>
        <d v="2023-08-17T00:00:00"/>
        <d v="2024-04-25T00:00:00"/>
        <d v="2024-05-16T00:00:00"/>
        <d v="2023-09-01T00:00:00"/>
        <d v="2023-07-31T00:00:00"/>
        <d v="2024-03-04T00:00:00"/>
        <d v="2024-07-05T00:00:00"/>
        <d v="2024-06-21T00:00:00"/>
        <d v="2024-03-02T00:00:00"/>
        <d v="2024-05-24T00:00:00"/>
        <d v="2024-05-06T00:00:00"/>
        <d v="2024-04-30T00:00:00"/>
        <d v="2024-02-05T00:00:00"/>
        <d v="2024-02-24T00:00:00"/>
        <d v="2023-08-23T00:00:00"/>
        <d v="2023-08-14T00:00:00"/>
        <d v="2023-09-20T00:00:00"/>
        <d v="2023-08-11T00:00:00"/>
        <d v="2024-03-18T00:00:00"/>
        <d v="2023-09-07T00:00:00"/>
        <d v="2024-01-03T00:00:00"/>
        <d v="2024-02-16T00:00:00"/>
        <d v="2024-01-16T00:00:00"/>
        <d v="2024-07-21T00:00:00"/>
        <d v="2023-11-15T00:00:00"/>
        <d v="2024-02-14T00:00:00"/>
        <d v="2024-01-18T00:00:00"/>
        <d v="2024-03-22T00:00:00"/>
        <d v="2023-09-02T00:00:00"/>
        <d v="2024-05-26T00:00:00"/>
        <d v="2024-03-19T00:00:00"/>
      </sharedItems>
    </cacheField>
    <cacheField name="Region" numFmtId="0">
      <sharedItems count="5">
        <s v="South America"/>
        <s v="Africa"/>
        <s v="Asia"/>
        <s v="Europe"/>
        <s v="North America"/>
      </sharedItems>
    </cacheField>
    <cacheField name="Sales Representative" numFmtId="0">
      <sharedItems/>
    </cacheField>
    <cacheField name="Customer Type" numFmtId="0">
      <sharedItems/>
    </cacheField>
    <cacheField name="Revenue in numbers" numFmtId="165">
      <sharedItems containsSemiMixedTypes="0" containsString="0" containsNumber="1" containsInteger="1" minValue="1053" maxValue="49986"/>
    </cacheField>
    <cacheField name="Revenue/Unit " numFmtId="165">
      <sharedItems containsSemiMixedTypes="0" containsString="0" containsNumber="1" minValue="0.73791170287316044" maxValue="442.86363636363637"/>
    </cacheField>
    <cacheField name="Field1" numFmtId="0">
      <sharedItems containsNonDate="0" containsString="0" containsBlank="1"/>
    </cacheField>
    <cacheField name="Field2" numFmtId="0">
      <sharedItems containsBlank="1"/>
    </cacheField>
  </cacheFields>
  <extLst>
    <ext xmlns:x14="http://schemas.microsoft.com/office/spreadsheetml/2009/9/main" uri="{725AE2AE-9491-48be-B2B4-4EB974FC3084}">
      <x14:pivotCacheDefinition pivotCacheId="6696554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nshi" refreshedDate="46267.008637847219" createdVersion="8" refreshedVersion="8" minRefreshableVersion="3" recordCount="1000" xr:uid="{3B9F50C3-259C-4CAA-80DC-999BBEA6DC12}">
  <cacheSource type="worksheet">
    <worksheetSource ref="A1:N1001" sheet="Raw Data"/>
  </cacheSource>
  <cacheFields count="17">
    <cacheField name="Drug Name" numFmtId="0">
      <sharedItems count="5">
        <s v="Drug B"/>
        <s v="Drug E"/>
        <s v="Drug C"/>
        <s v="Drug A"/>
        <s v="Drug D"/>
      </sharedItems>
    </cacheField>
    <cacheField name="Manufacturer" numFmtId="0">
      <sharedItems count="5">
        <s v="Company W"/>
        <s v="Company X"/>
        <s v="Company V"/>
        <s v="Company Y"/>
        <s v="Company Z"/>
      </sharedItems>
    </cacheField>
    <cacheField name="Dosage Form" numFmtId="0">
      <sharedItems/>
    </cacheField>
    <cacheField name="Strength" numFmtId="0">
      <sharedItems/>
    </cacheField>
    <cacheField name="Package Size" numFmtId="0">
      <sharedItems containsMixedTypes="1" containsNumber="1" containsInteger="1" minValue="30" maxValue="60"/>
    </cacheField>
    <cacheField name="Units Sold" numFmtId="166">
      <sharedItems containsSemiMixedTypes="0" containsString="0" containsNumber="1" containsInteger="1" minValue="100" maxValue="1999"/>
    </cacheField>
    <cacheField name="Revenue" numFmtId="2">
      <sharedItems/>
    </cacheField>
    <cacheField name="Sale Date" numFmtId="14">
      <sharedItems containsSemiMixedTypes="0" containsNonDate="0" containsDate="1" containsString="0" minDate="2023-07-29T00:00:00" maxDate="2024-07-29T00:00:00" count="342">
        <d v="2024-02-07T00:00:00"/>
        <d v="2023-08-08T00:00:00"/>
        <d v="2024-06-15T00:00:00"/>
        <d v="2024-07-15T00:00:00"/>
        <d v="2023-08-13T00:00:00"/>
        <d v="2023-12-05T00:00:00"/>
        <d v="2023-12-30T00:00:00"/>
        <d v="2023-11-14T00:00:00"/>
        <d v="2024-05-23T00:00:00"/>
        <d v="2024-05-18T00:00:00"/>
        <d v="2023-11-08T00:00:00"/>
        <d v="2023-08-19T00:00:00"/>
        <d v="2024-07-08T00:00:00"/>
        <d v="2023-12-03T00:00:00"/>
        <d v="2024-07-13T00:00:00"/>
        <d v="2023-08-22T00:00:00"/>
        <d v="2024-02-27T00:00:00"/>
        <d v="2024-01-12T00:00:00"/>
        <d v="2024-01-24T00:00:00"/>
        <d v="2024-01-08T00:00:00"/>
        <d v="2024-03-15T00:00:00"/>
        <d v="2024-05-25T00:00:00"/>
        <d v="2023-09-03T00:00:00"/>
        <d v="2024-03-20T00:00:00"/>
        <d v="2024-01-22T00:00:00"/>
        <d v="2023-12-04T00:00:00"/>
        <d v="2023-12-11T00:00:00"/>
        <d v="2024-07-22T00:00:00"/>
        <d v="2024-05-05T00:00:00"/>
        <d v="2023-10-12T00:00:00"/>
        <d v="2024-03-08T00:00:00"/>
        <d v="2024-06-27T00:00:00"/>
        <d v="2024-04-14T00:00:00"/>
        <d v="2024-01-04T00:00:00"/>
        <d v="2024-01-07T00:00:00"/>
        <d v="2024-06-16T00:00:00"/>
        <d v="2024-01-29T00:00:00"/>
        <d v="2023-10-02T00:00:00"/>
        <d v="2023-09-06T00:00:00"/>
        <d v="2023-09-12T00:00:00"/>
        <d v="2023-10-30T00:00:00"/>
        <d v="2023-09-21T00:00:00"/>
        <d v="2024-04-08T00:00:00"/>
        <d v="2023-11-07T00:00:00"/>
        <d v="2024-05-21T00:00:00"/>
        <d v="2024-02-04T00:00:00"/>
        <d v="2023-12-27T00:00:00"/>
        <d v="2023-08-21T00:00:00"/>
        <d v="2024-07-25T00:00:00"/>
        <d v="2023-11-12T00:00:00"/>
        <d v="2023-12-08T00:00:00"/>
        <d v="2023-11-13T00:00:00"/>
        <d v="2024-07-17T00:00:00"/>
        <d v="2023-09-29T00:00:00"/>
        <d v="2024-02-02T00:00:00"/>
        <d v="2023-09-15T00:00:00"/>
        <d v="2024-03-28T00:00:00"/>
        <d v="2024-01-01T00:00:00"/>
        <d v="2024-02-08T00:00:00"/>
        <d v="2023-11-30T00:00:00"/>
        <d v="2023-11-20T00:00:00"/>
        <d v="2024-03-26T00:00:00"/>
        <d v="2023-12-23T00:00:00"/>
        <d v="2024-04-23T00:00:00"/>
        <d v="2024-07-09T00:00:00"/>
        <d v="2023-11-18T00:00:00"/>
        <d v="2024-02-10T00:00:00"/>
        <d v="2024-07-03T00:00:00"/>
        <d v="2024-06-19T00:00:00"/>
        <d v="2024-06-14T00:00:00"/>
        <d v="2023-11-29T00:00:00"/>
        <d v="2023-09-23T00:00:00"/>
        <d v="2024-05-09T00:00:00"/>
        <d v="2023-07-29T00:00:00"/>
        <d v="2024-04-05T00:00:00"/>
        <d v="2024-03-17T00:00:00"/>
        <d v="2023-11-26T00:00:00"/>
        <d v="2024-02-21T00:00:00"/>
        <d v="2024-06-09T00:00:00"/>
        <d v="2024-07-27T00:00:00"/>
        <d v="2023-12-15T00:00:00"/>
        <d v="2024-02-11T00:00:00"/>
        <d v="2023-11-03T00:00:00"/>
        <d v="2024-04-13T00:00:00"/>
        <d v="2023-08-27T00:00:00"/>
        <d v="2024-06-10T00:00:00"/>
        <d v="2023-09-17T00:00:00"/>
        <d v="2023-10-07T00:00:00"/>
        <d v="2024-03-16T00:00:00"/>
        <d v="2024-07-20T00:00:00"/>
        <d v="2023-10-06T00:00:00"/>
        <d v="2023-10-23T00:00:00"/>
        <d v="2024-05-19T00:00:00"/>
        <d v="2023-10-18T00:00:00"/>
        <d v="2024-07-23T00:00:00"/>
        <d v="2024-01-31T00:00:00"/>
        <d v="2024-07-26T00:00:00"/>
        <d v="2024-07-02T00:00:00"/>
        <d v="2023-12-24T00:00:00"/>
        <d v="2023-12-06T00:00:00"/>
        <d v="2024-07-28T00:00:00"/>
        <d v="2023-12-02T00:00:00"/>
        <d v="2024-02-06T00:00:00"/>
        <d v="2024-03-05T00:00:00"/>
        <d v="2023-10-21T00:00:00"/>
        <d v="2024-03-11T00:00:00"/>
        <d v="2024-02-22T00:00:00"/>
        <d v="2024-05-13T00:00:00"/>
        <d v="2024-03-03T00:00:00"/>
        <d v="2023-10-20T00:00:00"/>
        <d v="2024-01-09T00:00:00"/>
        <d v="2023-09-16T00:00:00"/>
        <d v="2023-10-09T00:00:00"/>
        <d v="2024-03-10T00:00:00"/>
        <d v="2023-11-02T00:00:00"/>
        <d v="2024-01-13T00:00:00"/>
        <d v="2024-07-18T00:00:00"/>
        <d v="2023-08-12T00:00:00"/>
        <d v="2023-08-05T00:00:00"/>
        <d v="2023-12-14T00:00:00"/>
        <d v="2023-12-19T00:00:00"/>
        <d v="2024-05-14T00:00:00"/>
        <d v="2024-03-25T00:00:00"/>
        <d v="2024-03-14T00:00:00"/>
        <d v="2024-03-27T00:00:00"/>
        <d v="2023-08-31T00:00:00"/>
        <d v="2024-04-06T00:00:00"/>
        <d v="2023-08-10T00:00:00"/>
        <d v="2024-04-18T00:00:00"/>
        <d v="2024-07-12T00:00:00"/>
        <d v="2024-04-02T00:00:00"/>
        <d v="2023-08-30T00:00:00"/>
        <d v="2023-11-01T00:00:00"/>
        <d v="2023-08-26T00:00:00"/>
        <d v="2023-10-10T00:00:00"/>
        <d v="2024-04-29T00:00:00"/>
        <d v="2023-08-18T00:00:00"/>
        <d v="2023-08-04T00:00:00"/>
        <d v="2023-12-13T00:00:00"/>
        <d v="2024-01-10T00:00:00"/>
        <d v="2023-09-26T00:00:00"/>
        <d v="2024-05-08T00:00:00"/>
        <d v="2023-11-23T00:00:00"/>
        <d v="2024-04-26T00:00:00"/>
        <d v="2024-03-06T00:00:00"/>
        <d v="2024-05-10T00:00:00"/>
        <d v="2024-02-18T00:00:00"/>
        <d v="2023-12-01T00:00:00"/>
        <d v="2023-09-24T00:00:00"/>
        <d v="2024-01-30T00:00:00"/>
        <d v="2024-05-07T00:00:00"/>
        <d v="2024-06-24T00:00:00"/>
        <d v="2024-02-25T00:00:00"/>
        <d v="2023-10-05T00:00:00"/>
        <d v="2023-09-30T00:00:00"/>
        <d v="2023-11-10T00:00:00"/>
        <d v="2024-01-15T00:00:00"/>
        <d v="2023-10-24T00:00:00"/>
        <d v="2024-05-12T00:00:00"/>
        <d v="2024-01-11T00:00:00"/>
        <d v="2023-09-10T00:00:00"/>
        <d v="2024-04-21T00:00:00"/>
        <d v="2024-01-06T00:00:00"/>
        <d v="2023-08-28T00:00:00"/>
        <d v="2023-11-22T00:00:00"/>
        <d v="2023-10-01T00:00:00"/>
        <d v="2024-05-02T00:00:00"/>
        <d v="2023-12-16T00:00:00"/>
        <d v="2024-01-17T00:00:00"/>
        <d v="2023-12-25T00:00:00"/>
        <d v="2023-08-09T00:00:00"/>
        <d v="2023-07-30T00:00:00"/>
        <d v="2023-10-28T00:00:00"/>
        <d v="2024-06-13T00:00:00"/>
        <d v="2023-11-05T00:00:00"/>
        <d v="2024-03-07T00:00:00"/>
        <d v="2024-06-25T00:00:00"/>
        <d v="2023-11-25T00:00:00"/>
        <d v="2023-12-28T00:00:00"/>
        <d v="2024-01-20T00:00:00"/>
        <d v="2024-05-27T00:00:00"/>
        <d v="2023-09-11T00:00:00"/>
        <d v="2024-02-28T00:00:00"/>
        <d v="2024-06-11T00:00:00"/>
        <d v="2023-11-11T00:00:00"/>
        <d v="2024-01-19T00:00:00"/>
        <d v="2023-09-09T00:00:00"/>
        <d v="2024-07-11T00:00:00"/>
        <d v="2024-04-16T00:00:00"/>
        <d v="2024-01-26T00:00:00"/>
        <d v="2024-02-09T00:00:00"/>
        <d v="2024-03-31T00:00:00"/>
        <d v="2024-03-13T00:00:00"/>
        <d v="2024-05-11T00:00:00"/>
        <d v="2023-12-17T00:00:00"/>
        <d v="2024-02-15T00:00:00"/>
        <d v="2023-10-25T00:00:00"/>
        <d v="2024-04-07T00:00:00"/>
        <d v="2024-06-23T00:00:00"/>
        <d v="2023-10-17T00:00:00"/>
        <d v="2024-07-04T00:00:00"/>
        <d v="2024-04-12T00:00:00"/>
        <d v="2023-11-27T00:00:00"/>
        <d v="2023-08-15T00:00:00"/>
        <d v="2024-02-01T00:00:00"/>
        <d v="2023-10-22T00:00:00"/>
        <d v="2024-06-04T00:00:00"/>
        <d v="2024-01-05T00:00:00"/>
        <d v="2024-04-01T00:00:00"/>
        <d v="2024-07-19T00:00:00"/>
        <d v="2024-04-10T00:00:00"/>
        <d v="2023-12-22T00:00:00"/>
        <d v="2023-10-04T00:00:00"/>
        <d v="2024-06-26T00:00:00"/>
        <d v="2024-07-10T00:00:00"/>
        <d v="2023-09-13T00:00:00"/>
        <d v="2024-03-01T00:00:00"/>
        <d v="2023-12-09T00:00:00"/>
        <d v="2023-08-03T00:00:00"/>
        <d v="2024-04-22T00:00:00"/>
        <d v="2023-09-28T00:00:00"/>
        <d v="2024-02-23T00:00:00"/>
        <d v="2023-10-29T00:00:00"/>
        <d v="2024-02-17T00:00:00"/>
        <d v="2023-10-03T00:00:00"/>
        <d v="2024-04-04T00:00:00"/>
        <d v="2024-04-27T00:00:00"/>
        <d v="2024-03-24T00:00:00"/>
        <d v="2024-01-02T00:00:00"/>
        <d v="2024-07-24T00:00:00"/>
        <d v="2024-06-29T00:00:00"/>
        <d v="2023-09-22T00:00:00"/>
        <d v="2024-06-08T00:00:00"/>
        <d v="2023-08-16T00:00:00"/>
        <d v="2023-10-13T00:00:00"/>
        <d v="2023-10-14T00:00:00"/>
        <d v="2023-11-24T00:00:00"/>
        <d v="2024-01-14T00:00:00"/>
        <d v="2024-05-28T00:00:00"/>
        <d v="2023-11-21T00:00:00"/>
        <d v="2023-08-01T00:00:00"/>
        <d v="2023-11-04T00:00:00"/>
        <d v="2024-04-17T00:00:00"/>
        <d v="2024-06-20T00:00:00"/>
        <d v="2024-02-20T00:00:00"/>
        <d v="2023-08-29T00:00:00"/>
        <d v="2023-08-25T00:00:00"/>
        <d v="2024-03-12T00:00:00"/>
        <d v="2024-05-30T00:00:00"/>
        <d v="2024-04-19T00:00:00"/>
        <d v="2023-11-17T00:00:00"/>
        <d v="2023-12-31T00:00:00"/>
        <d v="2024-05-01T00:00:00"/>
        <d v="2024-01-25T00:00:00"/>
        <d v="2024-05-03T00:00:00"/>
        <d v="2023-10-11T00:00:00"/>
        <d v="2023-12-18T00:00:00"/>
        <d v="2023-08-06T00:00:00"/>
        <d v="2024-06-07T00:00:00"/>
        <d v="2024-03-21T00:00:00"/>
        <d v="2023-10-15T00:00:00"/>
        <d v="2024-06-06T00:00:00"/>
        <d v="2023-09-27T00:00:00"/>
        <d v="2024-07-16T00:00:00"/>
        <d v="2023-08-02T00:00:00"/>
        <d v="2023-08-24T00:00:00"/>
        <d v="2024-06-12T00:00:00"/>
        <d v="2023-10-08T00:00:00"/>
        <d v="2023-09-18T00:00:00"/>
        <d v="2024-05-22T00:00:00"/>
        <d v="2023-12-21T00:00:00"/>
        <d v="2023-12-26T00:00:00"/>
        <d v="2023-09-08T00:00:00"/>
        <d v="2023-11-09T00:00:00"/>
        <d v="2023-10-31T00:00:00"/>
        <d v="2023-12-20T00:00:00"/>
        <d v="2023-08-07T00:00:00"/>
        <d v="2023-08-20T00:00:00"/>
        <d v="2024-04-03T00:00:00"/>
        <d v="2024-06-02T00:00:00"/>
        <d v="2023-09-19T00:00:00"/>
        <d v="2024-04-09T00:00:00"/>
        <d v="2024-06-30T00:00:00"/>
        <d v="2023-10-16T00:00:00"/>
        <d v="2024-06-28T00:00:00"/>
        <d v="2023-10-26T00:00:00"/>
        <d v="2024-02-29T00:00:00"/>
        <d v="2023-12-29T00:00:00"/>
        <d v="2024-03-29T00:00:00"/>
        <d v="2023-10-19T00:00:00"/>
        <d v="2024-05-15T00:00:00"/>
        <d v="2023-09-25T00:00:00"/>
        <d v="2023-11-19T00:00:00"/>
        <d v="2024-05-04T00:00:00"/>
        <d v="2023-12-12T00:00:00"/>
        <d v="2024-01-28T00:00:00"/>
        <d v="2024-04-11T00:00:00"/>
        <d v="2024-06-05T00:00:00"/>
        <d v="2024-01-23T00:00:00"/>
        <d v="2024-03-23T00:00:00"/>
        <d v="2024-07-07T00:00:00"/>
        <d v="2024-03-30T00:00:00"/>
        <d v="2024-03-09T00:00:00"/>
        <d v="2024-06-22T00:00:00"/>
        <d v="2024-04-24T00:00:00"/>
        <d v="2023-09-04T00:00:00"/>
        <d v="2024-05-29T00:00:00"/>
        <d v="2024-04-28T00:00:00"/>
        <d v="2024-02-26T00:00:00"/>
        <d v="2024-02-13T00:00:00"/>
        <d v="2024-05-31T00:00:00"/>
        <d v="2023-08-17T00:00:00"/>
        <d v="2024-04-25T00:00:00"/>
        <d v="2024-05-16T00:00:00"/>
        <d v="2023-09-01T00:00:00"/>
        <d v="2023-07-31T00:00:00"/>
        <d v="2024-03-04T00:00:00"/>
        <d v="2024-07-05T00:00:00"/>
        <d v="2024-06-21T00:00:00"/>
        <d v="2024-03-02T00:00:00"/>
        <d v="2024-05-24T00:00:00"/>
        <d v="2024-05-06T00:00:00"/>
        <d v="2024-04-30T00:00:00"/>
        <d v="2024-02-05T00:00:00"/>
        <d v="2024-02-24T00:00:00"/>
        <d v="2023-08-23T00:00:00"/>
        <d v="2023-08-14T00:00:00"/>
        <d v="2023-09-20T00:00:00"/>
        <d v="2023-08-11T00:00:00"/>
        <d v="2024-03-18T00:00:00"/>
        <d v="2023-09-07T00:00:00"/>
        <d v="2024-01-03T00:00:00"/>
        <d v="2024-02-16T00:00:00"/>
        <d v="2024-01-16T00:00:00"/>
        <d v="2024-07-21T00:00:00"/>
        <d v="2023-11-15T00:00:00"/>
        <d v="2024-02-14T00:00:00"/>
        <d v="2024-01-18T00:00:00"/>
        <d v="2024-03-22T00:00:00"/>
        <d v="2023-09-02T00:00:00"/>
        <d v="2024-05-26T00:00:00"/>
        <d v="2024-03-19T00:00:00"/>
      </sharedItems>
      <fieldGroup par="16"/>
    </cacheField>
    <cacheField name="Region" numFmtId="0">
      <sharedItems count="5">
        <s v="South America"/>
        <s v="Africa"/>
        <s v="Asia"/>
        <s v="Europe"/>
        <s v="North America"/>
      </sharedItems>
    </cacheField>
    <cacheField name="Sales Representative" numFmtId="0">
      <sharedItems count="994">
        <s v="Susan Hernandez"/>
        <s v="Jackie Wagner"/>
        <s v="Mariah Mccoy"/>
        <s v="Courtney Doyle"/>
        <s v="Dawn Torres"/>
        <s v="Jessica Faulkner"/>
        <s v="Alicia Howard"/>
        <s v="David Hill"/>
        <s v="Matthew Johnson"/>
        <s v="Kimberly Murphy"/>
        <s v="Tyler Brown"/>
        <s v="Sheila Coleman"/>
        <s v="Douglas Rodriguez"/>
        <s v="Brandi King"/>
        <s v="Susan Brewer"/>
        <s v="Latoya Wright"/>
        <s v="Richard Edwards"/>
        <s v="Mr. Michael Taylor"/>
        <s v="Angela Castro"/>
        <s v="Christie Brown"/>
        <s v="Annette Fisher"/>
        <s v="Katelyn Smith"/>
        <s v="Crystal Lawrence"/>
        <s v="Katherine Sexton"/>
        <s v="Felicia Jones"/>
        <s v="Lisa Johnson"/>
        <s v="Amber Hill"/>
        <s v="Rebecca Lawrence"/>
        <s v="John Smith"/>
        <s v="Scott Jones"/>
        <s v="Cynthia Cook"/>
        <s v="Randy Dunn"/>
        <s v="Michael Cisneros"/>
        <s v="Crystal Keller"/>
        <s v="Christina Lopez"/>
        <s v="Christopher Taylor"/>
        <s v="Lisa Alvarado"/>
        <s v="Kerry Oneill"/>
        <s v="Stephanie Collins"/>
        <s v="Brian Williams"/>
        <s v="Laura Vance"/>
        <s v="Sierra Edwards"/>
        <s v="Lisa Hunter"/>
        <s v="Jeffrey Lane"/>
        <s v="Terri Floyd"/>
        <s v="Patrick Valenzuela"/>
        <s v="Todd Roberts"/>
        <s v="Jessica Donovan"/>
        <s v="Sean Smith"/>
        <s v="Laura Brown"/>
        <s v="Dr. Michael Ortiz"/>
        <s v="Paul Valdez"/>
        <s v="Cassandra Diaz"/>
        <s v="Matthew Richards"/>
        <s v="Travis Gonzalez"/>
        <s v="Sandra Murray"/>
        <s v="Tammy Harper"/>
        <s v="Dwayne Johnson"/>
        <s v="Mary Dorsey"/>
        <s v="Brian Beasley"/>
        <s v="Russell Wong"/>
        <s v="Jason Levy"/>
        <s v="Lindsey Shepherd"/>
        <s v="Matthew Nolan"/>
        <s v="Stephen Schroeder"/>
        <s v="Jennifer Taylor"/>
        <s v="John Ewing"/>
        <s v="Kimberly Blackburn"/>
        <s v="Michael Jones"/>
        <s v="Jacob Salinas"/>
        <s v="Brianna Alexander"/>
        <s v="Patricia Gonzales"/>
        <s v="Caitlyn Juarez"/>
        <s v="Willie Horn"/>
        <s v="Tracy Bond"/>
        <s v="Mark Martin"/>
        <s v="William Wolf MD"/>
        <s v="Kelsey Phillips"/>
        <s v="Corey Weaver"/>
        <s v="Brendan Garza"/>
        <s v="Jeanette Vasquez"/>
        <s v="Jeffrey Rivera"/>
        <s v="Brandy Henderson"/>
        <s v="Robert Jones"/>
        <s v="Jason Caldwell"/>
        <s v="Cynthia Thomas"/>
        <s v="Alicia Lambert"/>
        <s v="Michelle Abbott"/>
        <s v="Robin Roth"/>
        <s v="Emily Mills"/>
        <s v="Michael Roberson"/>
        <s v="Heather Adams"/>
        <s v="Anna Ford"/>
        <s v="Brian Greer"/>
        <s v="Joshua Gomez"/>
        <s v="Michael Orr"/>
        <s v="Elizabeth Powell"/>
        <s v="Steven Decker"/>
        <s v="Lisa Friedman"/>
        <s v="Jeremy Brandt"/>
        <s v="Cheryl Campbell"/>
        <s v="Emily Turner"/>
        <s v="Cheryl Morris"/>
        <s v="Richard Mendoza"/>
        <s v="Isabel Whitaker"/>
        <s v="Darryl Nicholson"/>
        <s v="Patricia Mclean"/>
        <s v="Raymond Scott"/>
        <s v="Cindy Diaz"/>
        <s v="Timothy Bradley"/>
        <s v="Chad Lewis"/>
        <s v="Ashley White"/>
        <s v="Emily Scott"/>
        <s v="Kelly Berry"/>
        <s v="Michael Miller"/>
        <s v="Brian Coleman"/>
        <s v="James Sexton"/>
        <s v="Mitchell Butler"/>
        <s v="Jeremy Mcdaniel"/>
        <s v="Heidi Joseph"/>
        <s v="Caitlyn Smith"/>
        <s v="Robert Brown"/>
        <s v="Catherine Porter"/>
        <s v="Angela Pierce"/>
        <s v="Jason Taylor"/>
        <s v="Stephen Rodriguez"/>
        <s v="Lisa Gross"/>
        <s v="Wyatt Norris"/>
        <s v="Victoria Maldonado"/>
        <s v="Stacey Jordan"/>
        <s v="Isabella Alvarado"/>
        <s v="Anna Griffin"/>
        <s v="Jason Sanders"/>
        <s v="Kevin Sanford"/>
        <s v="Corey Miller"/>
        <s v="Ronald Caldwell"/>
        <s v="Andre Castillo"/>
        <s v="Jessica Nelson"/>
        <s v="Darin Smith"/>
        <s v="Carmen Bailey"/>
        <s v="Kristopher Martinez"/>
        <s v="Joseph Brewer"/>
        <s v="Michael Guzman"/>
        <s v="Theresa Hansen"/>
        <s v="Daniel Murillo"/>
        <s v="Jake Cook"/>
        <s v="Gary Grant"/>
        <s v="Don Brown"/>
        <s v="Shelby Johnson"/>
        <s v="Virginia Phillips"/>
        <s v="Melissa Kennedy"/>
        <s v="Patricia Norris"/>
        <s v="Taylor Barnes"/>
        <s v="Christina Montoya"/>
        <s v="Brittney Gonzales"/>
        <s v="Stephanie Williams"/>
        <s v="Hayden Rodriguez"/>
        <s v="Susan Mccoy"/>
        <s v="Keith Payne"/>
        <s v="John Lindsey"/>
        <s v="Hannah Long"/>
        <s v="Kevin Gates"/>
        <s v="Ricky Garner"/>
        <s v="Elizabeth Lopez"/>
        <s v="Gary Valencia"/>
        <s v="Emily Brown"/>
        <s v="Richard Stewart"/>
        <s v="Aaron Cline"/>
        <s v="Joshua Phillips"/>
        <s v="Tammy Wolfe"/>
        <s v="Catherine Henry"/>
        <s v="Tiffany Lane"/>
        <s v="Jodi Lowe"/>
        <s v="James Elliott"/>
        <s v="Cody Williams"/>
        <s v="Brian Sanchez"/>
        <s v="Teresa Taylor"/>
        <s v="Dana Sharp"/>
        <s v="Kevin Boyle"/>
        <s v="Dennis Wilson"/>
        <s v="Darrell Parsons"/>
        <s v="Charles Roberson"/>
        <s v="Jodi Reed"/>
        <s v="Lisa Williams"/>
        <s v="Meagan Braun"/>
        <s v="Michael Gibson"/>
        <s v="Mark Rivas"/>
        <s v="Paul Sullivan"/>
        <s v="Mr. Kevin Larson"/>
        <s v="George White"/>
        <s v="John Davis"/>
        <s v="Kevin Clark"/>
        <s v="John Orozco"/>
        <s v="Danielle Thomas"/>
        <s v="Yolanda Sims"/>
        <s v="John Allen"/>
        <s v="Larry Dunn"/>
        <s v="Robert Clark"/>
        <s v="Pamela Benson"/>
        <s v="Emily Wright"/>
        <s v="Robert Johnson"/>
        <s v="Phillip Turner"/>
        <s v="Antonio Murphy"/>
        <s v="Erin Cline"/>
        <s v="Jessica Morris"/>
        <s v="Stephen Smith"/>
        <s v="Kayla Meyer"/>
        <s v="Cynthia Phillips"/>
        <s v="James Smith"/>
        <s v="Jacob Spencer"/>
        <s v="Joseph Marks"/>
        <s v="James Campbell"/>
        <s v="Kristina Simpson"/>
        <s v="Cody Robbins"/>
        <s v="Karen Buchanan"/>
        <s v="James Haley"/>
        <s v="Sarah Hammond"/>
        <s v="Rebecca Jackson"/>
        <s v="Angela Nunez"/>
        <s v="Richard Gutierrez"/>
        <s v="Barbara Kim"/>
        <s v="Elizabeth Mcdaniel"/>
        <s v="Jamie Fischer"/>
        <s v="Andre Bauer"/>
        <s v="Robert Graham"/>
        <s v="Elizabeth Adams"/>
        <s v="Richard Lawson"/>
        <s v="Christopher Fischer"/>
        <s v="Jasmine Day"/>
        <s v="Lisa Cordova"/>
        <s v="Alejandro Bishop"/>
        <s v="David Anderson"/>
        <s v="Sara Chapman"/>
        <s v="Kevin Wilson"/>
        <s v="Edward Silva"/>
        <s v="Erika Robinson"/>
        <s v="Lauren Baker"/>
        <s v="Christopher Wilson"/>
        <s v="Steven Bray"/>
        <s v="Sharon Carter"/>
        <s v="Gregg Yu"/>
        <s v="Bradley Pennington"/>
        <s v="Angelica Hensley"/>
        <s v="Benjamin Holloway"/>
        <s v="Michael Williams"/>
        <s v="William Ford"/>
        <s v="Miss Elizabeth Evans"/>
        <s v="James Mccarty"/>
        <s v="Adam Cox"/>
        <s v="Brandon Cooper"/>
        <s v="Cathy Gonzalez"/>
        <s v="Mrs. Hailey Johnson DDS"/>
        <s v="Austin Martinez"/>
        <s v="Stephanie Davis"/>
        <s v="Erica Bass"/>
        <s v="Jonathan Brown"/>
        <s v="Zachary Miller"/>
        <s v="Dr. Laura Shaffer"/>
        <s v="Paul Smith"/>
        <s v="Stacey Hart"/>
        <s v="Dr. Sara Wilson"/>
        <s v="Gary Lucas"/>
        <s v="Jacqueline Greene"/>
        <s v="Joseph Ross"/>
        <s v="John Davila"/>
        <s v="Jerry Michael"/>
        <s v="Christina Blankenship"/>
        <s v="Daniel Bryant"/>
        <s v="Maria Moore"/>
        <s v="Danny Pennington"/>
        <s v="Geoffrey Elliott"/>
        <s v="Heather Simmons"/>
        <s v="Mark Mckinney"/>
        <s v="Amy Dickson"/>
        <s v="Bradley Dean"/>
        <s v="Dylan Warren"/>
        <s v="Ryan Thompson"/>
        <s v="Alicia Flynn"/>
        <s v="Felicia Wallace"/>
        <s v="Jeffrey Molina"/>
        <s v="Dustin Stephenson"/>
        <s v="Autumn Francis"/>
        <s v="Audrey Pennington"/>
        <s v="Thomas Chapman"/>
        <s v="David Johnson"/>
        <s v="Donna Lucas"/>
        <s v="Michael Robinson"/>
        <s v="Austin Martin"/>
        <s v="Julie Ferguson"/>
        <s v="Justin Coffey"/>
        <s v="Daniel Kelly"/>
        <s v="Leah Miller"/>
        <s v="Amy Jackson"/>
        <s v="Brian Dennis"/>
        <s v="Elizabeth Branch"/>
        <s v="Rebecca Baker"/>
        <s v="Ryan Beck"/>
        <s v="Annette Bartlett"/>
        <s v="Cameron Garcia"/>
        <s v="Carlos Sawyer"/>
        <s v="Anthony Bell"/>
        <s v="Adam Brown"/>
        <s v="Phyllis Robertson"/>
        <s v="Justin Hamilton"/>
        <s v="Lucas Dunn"/>
        <s v="Aaron Douglas"/>
        <s v="Gregory Ross"/>
        <s v="Corey Wong"/>
        <s v="Bobby Price"/>
        <s v="Nicole Jones"/>
        <s v="Bonnie Thompson"/>
        <s v="Dawn Rogers"/>
        <s v="Robert Kelley"/>
        <s v="Anna Jordan"/>
        <s v="Seth Jenkins"/>
        <s v="Tiffany Brown"/>
        <s v="Michael Ortiz"/>
        <s v="Lauren Brown"/>
        <s v="Barbara Richard"/>
        <s v="Haley Maldonado"/>
        <s v="Timothy Crosby"/>
        <s v="Robin Benton"/>
        <s v="Mr. David Bennett"/>
        <s v="Alexander Maynard"/>
        <s v="Julia Stevens"/>
        <s v="Kimberly Stewart"/>
        <s v="Rachel Allen"/>
        <s v="Tracy Erickson"/>
        <s v="William Parks"/>
        <s v="Paul Morgan"/>
        <s v="Jessica Vincent"/>
        <s v="Elizabeth Ray"/>
        <s v="James Graham"/>
        <s v="Darrell Kelly"/>
        <s v="Richard Thomas"/>
        <s v="Laura Gregory"/>
        <s v="David Castro"/>
        <s v="Jessica Webster"/>
        <s v="Cristina Stevens"/>
        <s v="Lauren Bryant"/>
        <s v="Adam Shelton"/>
        <s v="Ashley Pittman"/>
        <s v="Miss Amy Perry"/>
        <s v="Johnny Kim"/>
        <s v="Yvonne Rogers"/>
        <s v="Mr. Kevin Duffy"/>
        <s v="Angela Brown"/>
        <s v="Lauren Gilbert"/>
        <s v="Michael Solis"/>
        <s v="Andre Skinner"/>
        <s v="Jamie Martin"/>
        <s v="Allison Alvarado"/>
        <s v="Amy Anderson"/>
        <s v="Ariel Brown"/>
        <s v="John Newman"/>
        <s v="Jon Richardson"/>
        <s v="Sarah Burnett"/>
        <s v="Jason Bradley"/>
        <s v="Brendan Harrington"/>
        <s v="Danny Bernard"/>
        <s v="Timothy Villanueva"/>
        <s v="Amy Adams"/>
        <s v="Casey Coleman"/>
        <s v="Samuel Lopez"/>
        <s v="Joseph Johnson"/>
        <s v="Mark Reed"/>
        <s v="Maurice Mcintosh"/>
        <s v="Ryan Cardenas"/>
        <s v="Rachel Robinson"/>
        <s v="Charles Wagner"/>
        <s v="Donna White"/>
        <s v="Shane Burke"/>
        <s v="Daniel Newton"/>
        <s v="Anita Morgan"/>
        <s v="Sheryl Ramos"/>
        <s v="Robert Cline"/>
        <s v="Katherine Smith"/>
        <s v="Sarah Martin"/>
        <s v="Maria Sullivan"/>
        <s v="Janet Bates"/>
        <s v="Jorge Garcia"/>
        <s v="Jacob Bennett"/>
        <s v="Sarah Davila"/>
        <s v="Carolyn Rhodes"/>
        <s v="Erik Silva"/>
        <s v="Eric Lee"/>
        <s v="David Bell"/>
        <s v="Raymond Aguirre"/>
        <s v="Juan Webb"/>
        <s v="Daniel Poole"/>
        <s v="Joseph Howard"/>
        <s v="Madison Butler"/>
        <s v="Cameron Hunter"/>
        <s v="Brian Dodson"/>
        <s v="Savannah Brown"/>
        <s v="John Gates"/>
        <s v="Christine Willis"/>
        <s v="Rebecca Taylor"/>
        <s v="Lauren Johnson"/>
        <s v="Candace Bowen"/>
        <s v="Chase Melendez"/>
        <s v="Mr. Austin Park"/>
        <s v="Wendy Cowan"/>
        <s v="Shelly Ball"/>
        <s v="Nancy Evans"/>
        <s v="Cathy Hooper"/>
        <s v="Amy Garcia"/>
        <s v="Deborah Lopez"/>
        <s v="Tiffany Lucas"/>
        <s v="Karen Garcia"/>
        <s v="Tracy Wagner"/>
        <s v="Kimberly Hudson"/>
        <s v="Walter Maldonado"/>
        <s v="Tyrone Doyle"/>
        <s v="Sherry Adams"/>
        <s v="Brooke Russell"/>
        <s v="Stephanie Boyd"/>
        <s v="Thomas Vega"/>
        <s v="Maria Lewis"/>
        <s v="Alexis Luna"/>
        <s v="Hannah Lynch"/>
        <s v="Todd Ortiz"/>
        <s v="Wanda Salazar"/>
        <s v="Margaret Patel"/>
        <s v="Kevin Morrow"/>
        <s v="Todd Lewis"/>
        <s v="Michael Hernandez"/>
        <s v="Allison Duran"/>
        <s v="Angela Freeman"/>
        <s v="Jessica Andrews"/>
        <s v="Jay Tate"/>
        <s v="Keith Davis"/>
        <s v="Dennis Simmons"/>
        <s v="Joshua Spencer"/>
        <s v="Ronnie Becker"/>
        <s v="Brittany Knight"/>
        <s v="Mrs. Tammy Ferguson"/>
        <s v="Daniel Flores"/>
        <s v="Jocelyn Adams"/>
        <s v="Ronald Lopez"/>
        <s v="Sarah Anderson"/>
        <s v="Bryan Gonzalez"/>
        <s v="Steven Knox"/>
        <s v="Anna Shepherd"/>
        <s v="Shawn Delgado DVM"/>
        <s v="Debra Nichols"/>
        <s v="Leslie Cruz"/>
        <s v="Tamara Ryan"/>
        <s v="Lisa Wallace"/>
        <s v="Judy Alvarado"/>
        <s v="William Jones"/>
        <s v="Timothy Lewis"/>
        <s v="Kristin Stewart"/>
        <s v="Michael Gaines"/>
        <s v="Rebecca Turner"/>
        <s v="Kevin Johnson"/>
        <s v="Michelle Bowman"/>
        <s v="Michael Burch"/>
        <s v="Angel Gonzalez"/>
        <s v="Tammy Dunlap"/>
        <s v="John Ramirez"/>
        <s v="Peter Barron"/>
        <s v="Paige Davis"/>
        <s v="Thomas Miller"/>
        <s v="Miss Sara Hamilton"/>
        <s v="Brian Little"/>
        <s v="Charles White"/>
        <s v="Elizabeth Carrillo"/>
        <s v="Amber Garcia"/>
        <s v="Katherine Velazquez"/>
        <s v="Brian Barnes"/>
        <s v="Susan Osborne"/>
        <s v="Robin Owens"/>
        <s v="Mr. Erik Bennett"/>
        <s v="Sarah Whitney"/>
        <s v="Thomas Mitchell"/>
        <s v="Thomas Houston"/>
        <s v="Kathleen Jenkins DVM"/>
        <s v="Sara Gillespie"/>
        <s v="Jennifer Jones"/>
        <s v="James Gonzalez"/>
        <s v="Katherine George"/>
        <s v="Melissa Spence"/>
        <s v="Renee Thompson"/>
        <s v="David Hall"/>
        <s v="Patricia Herrera"/>
        <s v="Alan Sloan"/>
        <s v="Tami Robles"/>
        <s v="Edgar Hughes"/>
        <s v="Melissa Gonzalez"/>
        <s v="Joseph Gregory"/>
        <s v="Daniel Bray"/>
        <s v="Angela Gibson"/>
        <s v="Luke Moore"/>
        <s v="Darren Allen"/>
        <s v="Sarah Gallagher"/>
        <s v="Scott Chandler"/>
        <s v="Kathy Ward"/>
        <s v="Anthony Gutierrez"/>
        <s v="Sharon Weiss"/>
        <s v="Monica Brown"/>
        <s v="Stephanie Savage"/>
        <s v="Miguel Harrell"/>
        <s v="Carol Sullivan"/>
        <s v="Amanda Adams"/>
        <s v="Heather Shah"/>
        <s v="Michael Wright"/>
        <s v="Rachel Chavez"/>
        <s v="Alexander Moore"/>
        <s v="Michael Scott"/>
        <s v="Miranda Price"/>
        <s v="Harold Sullivan"/>
        <s v="Renee Barton"/>
        <s v="Kevin Patterson"/>
        <s v="Philip Bennett"/>
        <s v="David Walker"/>
        <s v="Sara Hill"/>
        <s v="Ethan Lewis"/>
        <s v="Cassandra Marshall"/>
        <s v="Brenda Rice"/>
        <s v="Megan Ingram"/>
        <s v="Kevin Campbell"/>
        <s v="Kelly Green"/>
        <s v="Terri Hernandez"/>
        <s v="Morgan Kelly"/>
        <s v="Brenda Stewart"/>
        <s v="Patrick Hunt"/>
        <s v="Natalie Parks"/>
        <s v="Shirley Hawkins"/>
        <s v="John Serrano"/>
        <s v="Brian Young"/>
        <s v="Elizabeth Collins"/>
        <s v="Sabrina Campbell"/>
        <s v="Katrina Horn"/>
        <s v="Jennifer Oconnell"/>
        <s v="Jenny Cook"/>
        <s v="Hannah Wright"/>
        <s v="Michael Perkins"/>
        <s v="Scott Fowler"/>
        <s v="Julie Fisher"/>
        <s v="Troy Kennedy"/>
        <s v="Jill Howard"/>
        <s v="Miranda Jones"/>
        <s v="Jasmine Frank"/>
        <s v="Ashlee Macdonald"/>
        <s v="Lori Maldonado"/>
        <s v="Kristy Taylor"/>
        <s v="Hunter Nguyen"/>
        <s v="Zachary Dyer"/>
        <s v="James Lee"/>
        <s v="Phillip Adkins"/>
        <s v="Roger Larsen"/>
        <s v="Rebecca Vargas"/>
        <s v="Karen Kent"/>
        <s v="Heather Dawson"/>
        <s v="Carrie Reese"/>
        <s v="Kevin Parker"/>
        <s v="Christina Miller"/>
        <s v="John Cruz"/>
        <s v="Tommy Wise"/>
        <s v="James Gutierrez"/>
        <s v="Jill Mitchell"/>
        <s v="Katherine Glover"/>
        <s v="Christopher Adams"/>
        <s v="Katrina Reid"/>
        <s v="Luis Wood"/>
        <s v="Robert Greer"/>
        <s v="Michele Nguyen"/>
        <s v="Tiffany Lewis"/>
        <s v="Charles Ellis"/>
        <s v="Alexander Underwood"/>
        <s v="Arthur Henry"/>
        <s v="Dawn Le"/>
        <s v="Nicholas Caldwell"/>
        <s v="Kelly Parker"/>
        <s v="Noah Davis"/>
        <s v="Joshua Villa"/>
        <s v="Bonnie Mason"/>
        <s v="Lorraine Gibson"/>
        <s v="Kimberly Lopez"/>
        <s v="Lisa Burgess"/>
        <s v="Teresa Waters"/>
        <s v="Gary Foster"/>
        <s v="Cassandra Allen"/>
        <s v="Bryan Erickson"/>
        <s v="Claire Henry"/>
        <s v="Courtney Shelton"/>
        <s v="Danny Acevedo"/>
        <s v="Brian Henry"/>
        <s v="Patricia Robertson"/>
        <s v="Jason Hernandez"/>
        <s v="Sabrina Villa"/>
        <s v="Robert Scott"/>
        <s v="Jeffrey Moore"/>
        <s v="Gregory Krause"/>
        <s v="Daniel Adkins"/>
        <s v="Donna Gardner"/>
        <s v="Eric Boyd"/>
        <s v="Sabrina Barnett MD"/>
        <s v="Richard Matthews"/>
        <s v="Christine Garcia"/>
        <s v="Robert Becker"/>
        <s v="Kimberly Hill"/>
        <s v="Samuel Mullen"/>
        <s v="Michael Romero"/>
        <s v="Travis Mason"/>
        <s v="Aaron Miles"/>
        <s v="Bryan Porter"/>
        <s v="Cynthia Ross"/>
        <s v="Cynthia Aguirre"/>
        <s v="Daniel Phillips"/>
        <s v="Patrick Martinez"/>
        <s v="Suzanne Hernandez"/>
        <s v="Matthew Glover"/>
        <s v="Timothy Ruiz"/>
        <s v="Savannah Howard"/>
        <s v="Gregory Henry"/>
        <s v="Amanda Underwood"/>
        <s v="Yvette Miller"/>
        <s v="Robert Valencia"/>
        <s v="Robert Lucas"/>
        <s v="Joshua Ferguson"/>
        <s v="Amy Davis"/>
        <s v="Miguel Shah"/>
        <s v="Matthew Thomas"/>
        <s v="Jeffrey Woods"/>
        <s v="Lori Jones MD"/>
        <s v="Nicole Russell"/>
        <s v="Raymond Perez"/>
        <s v="Timothy Porter"/>
        <s v="Jose Dunn"/>
        <s v="Katelyn Fields"/>
        <s v="Joshua Black"/>
        <s v="Travis Carrillo"/>
        <s v="Lisa Cobb"/>
        <s v="Lisa Berry"/>
        <s v="Ernest Mcgrath"/>
        <s v="Jeffrey Simpson"/>
        <s v="Richard Vasquez"/>
        <s v="Travis Floyd"/>
        <s v="Brandon Williams"/>
        <s v="Mary Garcia"/>
        <s v="Susan Donaldson"/>
        <s v="Richard Johnson"/>
        <s v="Jermaine Lowe"/>
        <s v="Amanda Anderson"/>
        <s v="Tammy Nguyen"/>
        <s v="James Sanders"/>
        <s v="Timothy Diaz"/>
        <s v="Trevor Keith"/>
        <s v="Charles Rice"/>
        <s v="Melissa Ramos"/>
        <s v="Christopher Stephenson"/>
        <s v="Robert Hale"/>
        <s v="Brian Raymond"/>
        <s v="Monica Jones"/>
        <s v="Nichole Orozco"/>
        <s v="Paige Myers"/>
        <s v="Steve Ford"/>
        <s v="Patricia Wilson"/>
        <s v="Jennifer Clark"/>
        <s v="Andrew Lang"/>
        <s v="Catherine Ochoa"/>
        <s v="Kenneth Jones"/>
        <s v="Nicole Warner"/>
        <s v="Richard Benton"/>
        <s v="Eric Williams"/>
        <s v="Jacqueline Jones"/>
        <s v="Kelly Wolf"/>
        <s v="Colin Watson"/>
        <s v="Melissa Fisher"/>
        <s v="Andrea Reese"/>
        <s v="Cory Mason"/>
        <s v="Nathaniel Williams"/>
        <s v="Kara Martin"/>
        <s v="Mr. Todd Miller"/>
        <s v="Paul Brown"/>
        <s v="Megan Graves"/>
        <s v="Tammy Ford"/>
        <s v="Shannon Rodriguez"/>
        <s v="Robert Gomez"/>
        <s v="Joshua Owens"/>
        <s v="Rebecca Armstrong"/>
        <s v="Anthony Zimmerman"/>
        <s v="Travis Norton"/>
        <s v="Andrew Hernandez"/>
        <s v="Lindsay Obrien"/>
        <s v="Monica Ruiz MD"/>
        <s v="Courtney Day"/>
        <s v="Paul Gray"/>
        <s v="Wayne Roy"/>
        <s v="Dr. Alexis Cochran"/>
        <s v="Crystal Goodman"/>
        <s v="Kimberly Sutton"/>
        <s v="Rhonda Williams"/>
        <s v="Danielle Chen"/>
        <s v="Patrick Miller"/>
        <s v="Joyce Adams"/>
        <s v="Ian Rangel"/>
        <s v="Justin Montgomery"/>
        <s v="Jimmy Cox"/>
        <s v="Jade Collins"/>
        <s v="Brittany Bradford"/>
        <s v="David Oconnor"/>
        <s v="Deanna Becker"/>
        <s v="David Ryan"/>
        <s v="Curtis Khan"/>
        <s v="Dr. Mary Alexander"/>
        <s v="Monique Cruz"/>
        <s v="Victoria Powell"/>
        <s v="Stephen Becker"/>
        <s v="Kirsten Dillon"/>
        <s v="Victoria Miller"/>
        <s v="Jordan Guzman"/>
        <s v="Julia Rivera MD"/>
        <s v="Joseph Harris"/>
        <s v="Michael Saunders"/>
        <s v="Kimberly Rice"/>
        <s v="Daniel Alexander"/>
        <s v="Alicia Castillo"/>
        <s v="Anna Odonnell"/>
        <s v="Gabriel Lowe"/>
        <s v="Brent Kemp"/>
        <s v="Susan Owens"/>
        <s v="Anthony Jenkins"/>
        <s v="Robin Coleman"/>
        <s v="Thomas Collins"/>
        <s v="Brittany Williams"/>
        <s v="Luis George"/>
        <s v="James Edwards"/>
        <s v="Mary Jones"/>
        <s v="Jennifer Martinez"/>
        <s v="James White"/>
        <s v="Cindy White"/>
        <s v="Paul Schmidt"/>
        <s v="Sherry Higgins"/>
        <s v="Shannon French"/>
        <s v="Jennifer Gonzales"/>
        <s v="Thomas Davis"/>
        <s v="Joseph Moore"/>
        <s v="Jerry Hanson"/>
        <s v="Jennifer Tucker"/>
        <s v="Amanda Garcia"/>
        <s v="Jessica Kelly"/>
        <s v="James Fuller"/>
        <s v="Maria Proctor"/>
        <s v="John Fowler"/>
        <s v="Jason Nelson"/>
        <s v="Marvin Wu"/>
        <s v="Emily Singleton"/>
        <s v="Colin Lee"/>
        <s v="Mathew Johnson"/>
        <s v="Christopher Ramirez"/>
        <s v="Samuel Ortiz"/>
        <s v="Megan Reese"/>
        <s v="Rachel White"/>
        <s v="Michael Mclaughlin"/>
        <s v="Paul Gibson"/>
        <s v="Timothy Sanchez"/>
        <s v="Lori Smith"/>
        <s v="Julie Carpenter"/>
        <s v="Barbara Baldwin"/>
        <s v="Jason Brooks"/>
        <s v="Linda Brown"/>
        <s v="Ernest Moyer"/>
        <s v="Melissa Rodriguez"/>
        <s v="Austin Bowen"/>
        <s v="Nicholas French"/>
        <s v="Lauren Jones"/>
        <s v="Sean Butler"/>
        <s v="Michael Wiley"/>
        <s v="James Lara"/>
        <s v="Jessica Miller"/>
        <s v="Alvin Rios"/>
        <s v="James Goodman"/>
        <s v="Erica Adams"/>
        <s v="Amy Cruz"/>
        <s v="Michael Clark"/>
        <s v="Joyce Lopez"/>
        <s v="Keith Allen"/>
        <s v="Paige Watkins"/>
        <s v="Matthew Jones"/>
        <s v="Taylor Williams"/>
        <s v="Diane Beltran"/>
        <s v="Paul Espinoza"/>
        <s v="Laurie Price"/>
        <s v="John Thompson"/>
        <s v="Kara Dixon"/>
        <s v="Jamie Jones"/>
        <s v="Alisha Johnson"/>
        <s v="Taylor Villa"/>
        <s v="Wesley Rodriguez"/>
        <s v="Lisa Cisneros"/>
        <s v="Michael Lawson"/>
        <s v="Christopher Huang"/>
        <s v="Hector Silva"/>
        <s v="Mindy Garcia"/>
        <s v="Timothy Gray"/>
        <s v="Paul Gilbert"/>
        <s v="Raymond Diaz"/>
        <s v="Kenneth Mack"/>
        <s v="Michelle Ellis"/>
        <s v="Steven Lewis"/>
        <s v="Wendy Baker"/>
        <s v="Elizabeth Weber"/>
        <s v="Mark Gilbert"/>
        <s v="Craig Reyes"/>
        <s v="Linda Miller"/>
        <s v="Michael Pena"/>
        <s v="Dr. Guy Mcguire"/>
        <s v="James Glenn"/>
        <s v="Susan Holloway"/>
        <s v="Isaac Moore"/>
        <s v="Alison Santos DDS"/>
        <s v="Natasha Murray"/>
        <s v="David Lee"/>
        <s v="Miss Debbie Willis"/>
        <s v="Briana Henry"/>
        <s v="Jennifer Marsh"/>
        <s v="Rachel Weaver"/>
        <s v="Michael Hodges"/>
        <s v="James Taylor"/>
        <s v="Ms. Jamie Nunez DVM"/>
        <s v="Catherine Li"/>
        <s v="Lauren Taylor"/>
        <s v="Daniel Moore"/>
        <s v="Joseph Blair"/>
        <s v="William Foley"/>
        <s v="Alexis Davis"/>
        <s v="Nathan Contreras"/>
        <s v="Wendy Finley"/>
        <s v="Vanessa Wood"/>
        <s v="Laurie Gonzalez"/>
        <s v="Natalie Evans"/>
        <s v="Marissa Adams"/>
        <s v="Michael Mosley"/>
        <s v="Michael Knight"/>
        <s v="Ashley Johnson"/>
        <s v="Christopher Clayton"/>
        <s v="Tara Harris"/>
        <s v="Roberto Bryant"/>
        <s v="Janet Fritz"/>
        <s v="Elizabeth Melendez"/>
        <s v="William Baker"/>
        <s v="Eugene Mccarthy MD"/>
        <s v="Richard Day"/>
        <s v="Michael Freeman"/>
        <s v="Dale Wright"/>
        <s v="Stephanie Gutierrez"/>
        <s v="Vincent Espinoza"/>
        <s v="Allen Cortez"/>
        <s v="Thomas Camacho"/>
        <s v="James Ryan"/>
        <s v="Javier Gonzales DDS"/>
        <s v="Jessica Turner"/>
        <s v="James Sanchez"/>
        <s v="Christy Morgan"/>
        <s v="Lauren Gutierrez"/>
        <s v="Jerry Fry"/>
        <s v="Lisa Powell"/>
        <s v="Gregory Wright"/>
        <s v="Kenneth Torres"/>
        <s v="Kathy Garza"/>
        <s v="Ryan Taylor"/>
        <s v="Brenda Martin"/>
        <s v="Robert Petersen"/>
        <s v="Gary Moon"/>
        <s v="Patricia Cowan"/>
        <s v="Tina Hernandez"/>
        <s v="Nathaniel Weiss"/>
        <s v="Timothy Frank"/>
        <s v="William Allen"/>
        <s v="Corey Walsh"/>
        <s v="April Parker"/>
        <s v="Sean Duncan"/>
        <s v="Brenda Bauer"/>
        <s v="Austin Wright"/>
        <s v="Amy Mitchell"/>
        <s v="Michael Sanchez"/>
        <s v="Mrs. Hayley Hunter MD"/>
        <s v="Sandra Davis"/>
        <s v="Joyce Travis"/>
        <s v="Susan Ali"/>
        <s v="Lori Bass"/>
        <s v="Michael Gray"/>
        <s v="Dr. Abigail Jackson"/>
        <s v="Rebecca Harrison"/>
        <s v="Stacey Collins"/>
        <s v="Mr. Jacob Stokes DDS"/>
        <s v="Lindsay Hall"/>
        <s v="Mary Steele"/>
        <s v="Scott Bowers"/>
        <s v="Gabriella West"/>
        <s v="Allison Barker"/>
        <s v="Jeffery Tran"/>
        <s v="Christopher Jones"/>
        <s v="Annette Snyder"/>
        <s v="Erika Reed"/>
        <s v="Daniel Lee"/>
        <s v="Nicholas Carey"/>
        <s v="Teresa Lewis"/>
        <s v="Alyssa Craig"/>
        <s v="Chris Wise"/>
        <s v="Keith Burton"/>
        <s v="Susan Ellison"/>
        <s v="Margaret Duncan"/>
        <s v="Jennifer Nelson"/>
        <s v="Donna Peters"/>
        <s v="Michael Palmer"/>
        <s v="Daniel Collins"/>
        <s v="Ms. Alexis Robertson"/>
        <s v="Stephen Reed"/>
        <s v="Joshua Hebert"/>
        <s v="Anthony King"/>
        <s v="Amy Bentley"/>
        <s v="Lori Cole"/>
        <s v="Jesse Choi"/>
        <s v="Vanessa Watson"/>
        <s v="Brian Cole"/>
        <s v="Joshua Johnson"/>
        <s v="Anne Coleman"/>
        <s v="Melanie Mccoy DDS"/>
        <s v="William Blackburn"/>
        <s v="Alyssa Harvey"/>
        <s v="Jack Carpenter"/>
        <s v="Robert Gordon"/>
        <s v="Dawn Bryant"/>
        <s v="Darren Lowe"/>
        <s v="Anna Page"/>
        <s v="Eric Wolf"/>
        <s v="Leslie Chapman"/>
        <s v="Margaret Davies"/>
        <s v="Nancy Woods"/>
        <s v="Samuel Peterson"/>
        <s v="Donald Kennedy"/>
        <s v="Olivia Smith"/>
        <s v="Gloria Curry"/>
        <s v="Rachel Donaldson"/>
        <s v="Mark Johnston"/>
        <s v="Danny Porter"/>
        <s v="Tracy Russell"/>
        <s v="Matthew Medina"/>
        <s v="Erin Molina"/>
        <s v="Ronald Owens"/>
        <s v="Lori Russo"/>
        <s v="Katherine Doyle"/>
        <s v="Matthew Thompson"/>
        <s v="Travis Goodman"/>
        <s v="Emily Alexander"/>
        <s v="Susan Arroyo"/>
        <s v="Douglas Holloway"/>
        <s v="Christina Mata"/>
        <s v="Christopher Miranda"/>
        <s v="Ms. Olivia Murray"/>
        <s v="Kimberly Miller"/>
        <s v="Thomas Tran"/>
        <s v="Holly Jones"/>
        <s v="Joshua Jackson"/>
        <s v="Sara Sullivan"/>
        <s v="Jeffrey Bruce"/>
        <s v="Mark Newman"/>
        <s v="Michael Gonzalez"/>
        <s v="John Sloan"/>
        <s v="Mark Phillips"/>
        <s v="Kristina Shepard"/>
        <s v="Paul Garcia"/>
        <s v="Colleen Proctor"/>
        <s v="Frank Lara"/>
        <s v="Richard Wilson"/>
        <s v="Christopher Sutton"/>
        <s v="Andrew Simpson"/>
        <s v="Heather Butler"/>
        <s v="Suzanne Hopkins DVM"/>
        <s v="Spencer Bird"/>
        <s v="John Weaver"/>
        <s v="Anthony Mclean MD"/>
        <s v="Wendy Shepherd"/>
        <s v="Erica Patterson"/>
        <s v="Justin Li"/>
        <s v="George Reyes"/>
        <s v="Stephen Day DDS"/>
        <s v="James Roberson"/>
        <s v="Tanya Thompson"/>
        <s v="Allison Bennett"/>
        <s v="Adam Jones"/>
        <s v="Monique Morton"/>
        <s v="Audrey Neal"/>
        <s v="Scott Williams"/>
        <s v="Darryl Rivera"/>
        <s v="Molly Adams"/>
        <s v="Michele Vance"/>
        <s v="John Anthony"/>
        <s v="Joseph Smith"/>
        <s v="Mary Hanson"/>
      </sharedItems>
    </cacheField>
    <cacheField name="Customer Type" numFmtId="0">
      <sharedItems count="5">
        <s v="Clinics"/>
        <s v="Hospitals"/>
        <s v="Pharmacy"/>
        <s v="Online Pharmacy"/>
        <s v="Supermarkets"/>
      </sharedItems>
    </cacheField>
    <cacheField name="Revenue in numbers" numFmtId="165">
      <sharedItems containsSemiMixedTypes="0" containsString="0" containsNumber="1" containsInteger="1" minValue="1053" maxValue="49986" count="987">
        <n v="43833"/>
        <n v="48717"/>
        <n v="8744"/>
        <n v="25321"/>
        <n v="13669"/>
        <n v="7552"/>
        <n v="48563"/>
        <n v="13672"/>
        <n v="45835"/>
        <n v="31716"/>
        <n v="33931"/>
        <n v="35258"/>
        <n v="36459"/>
        <n v="32152"/>
        <n v="13538"/>
        <n v="9566"/>
        <n v="29932"/>
        <n v="45608"/>
        <n v="42394"/>
        <n v="48016"/>
        <n v="11048"/>
        <n v="16952"/>
        <n v="28543"/>
        <n v="5766"/>
        <n v="23153"/>
        <n v="22920"/>
        <n v="6595"/>
        <n v="37523"/>
        <n v="23815"/>
        <n v="40754"/>
        <n v="35645"/>
        <n v="1820"/>
        <n v="13578"/>
        <n v="47682"/>
        <n v="41604"/>
        <n v="21024"/>
        <n v="18363"/>
        <n v="2347"/>
        <n v="41781"/>
        <n v="34028"/>
        <n v="6369"/>
        <n v="18788"/>
        <n v="22868"/>
        <n v="16211"/>
        <n v="32496"/>
        <n v="40588"/>
        <n v="23173"/>
        <n v="3801"/>
        <n v="18175"/>
        <n v="1053"/>
        <n v="29042"/>
        <n v="28677"/>
        <n v="40547"/>
        <n v="16542"/>
        <n v="33706"/>
        <n v="38821"/>
        <n v="5779"/>
        <n v="7678"/>
        <n v="15878"/>
        <n v="48415"/>
        <n v="41051"/>
        <n v="17900"/>
        <n v="37654"/>
        <n v="22319"/>
        <n v="19247"/>
        <n v="25411"/>
        <n v="3809"/>
        <n v="39524"/>
        <n v="19740"/>
        <n v="18797"/>
        <n v="23785"/>
        <n v="31204"/>
        <n v="45096"/>
        <n v="30640"/>
        <n v="25665"/>
        <n v="40605"/>
        <n v="29315"/>
        <n v="10256"/>
        <n v="44797"/>
        <n v="37132"/>
        <n v="8234"/>
        <n v="11906"/>
        <n v="36835"/>
        <n v="45468"/>
        <n v="22945"/>
        <n v="46398"/>
        <n v="1303"/>
        <n v="33259"/>
        <n v="8553"/>
        <n v="28304"/>
        <n v="33795"/>
        <n v="34115"/>
        <n v="30051"/>
        <n v="29950"/>
        <n v="30714"/>
        <n v="45689"/>
        <n v="35016"/>
        <n v="11515"/>
        <n v="49897"/>
        <n v="12572"/>
        <n v="40809"/>
        <n v="39757"/>
        <n v="2237"/>
        <n v="35093"/>
        <n v="44592"/>
        <n v="29700"/>
        <n v="37018"/>
        <n v="44885"/>
        <n v="14086"/>
        <n v="27380"/>
        <n v="35477"/>
        <n v="47265"/>
        <n v="37244"/>
        <n v="43046"/>
        <n v="37589"/>
        <n v="7516"/>
        <n v="19413"/>
        <n v="9225"/>
        <n v="35677"/>
        <n v="9657"/>
        <n v="14169"/>
        <n v="24407"/>
        <n v="3721"/>
        <n v="43131"/>
        <n v="37526"/>
        <n v="27781"/>
        <n v="6993"/>
        <n v="38657"/>
        <n v="42644"/>
        <n v="44138"/>
        <n v="5211"/>
        <n v="42504"/>
        <n v="24284"/>
        <n v="49653"/>
        <n v="14645"/>
        <n v="21269"/>
        <n v="15529"/>
        <n v="30435"/>
        <n v="28042"/>
        <n v="32650"/>
        <n v="32388"/>
        <n v="9396"/>
        <n v="11786"/>
        <n v="19170"/>
        <n v="28574"/>
        <n v="38185"/>
        <n v="42397"/>
        <n v="42407"/>
        <n v="49311"/>
        <n v="21123"/>
        <n v="32204"/>
        <n v="21201"/>
        <n v="43256"/>
        <n v="8678"/>
        <n v="49381"/>
        <n v="48645"/>
        <n v="21818"/>
        <n v="7513"/>
        <n v="4294"/>
        <n v="24941"/>
        <n v="46339"/>
        <n v="9800"/>
        <n v="48204"/>
        <n v="19752"/>
        <n v="37074"/>
        <n v="7794"/>
        <n v="33904"/>
        <n v="15758"/>
        <n v="46906"/>
        <n v="13081"/>
        <n v="23680"/>
        <n v="19965"/>
        <n v="49694"/>
        <n v="42355"/>
        <n v="45637"/>
        <n v="46407"/>
        <n v="37320"/>
        <n v="26575"/>
        <n v="33005"/>
        <n v="43392"/>
        <n v="34603"/>
        <n v="27787"/>
        <n v="41152"/>
        <n v="47207"/>
        <n v="31891"/>
        <n v="25257"/>
        <n v="28319"/>
        <n v="20149"/>
        <n v="20979"/>
        <n v="24090"/>
        <n v="10545"/>
        <n v="37020"/>
        <n v="12714"/>
        <n v="8859"/>
        <n v="14721"/>
        <n v="4821"/>
        <n v="26268"/>
        <n v="12451"/>
        <n v="19171"/>
        <n v="45953"/>
        <n v="18487"/>
        <n v="29056"/>
        <n v="4566"/>
        <n v="5040"/>
        <n v="33003"/>
        <n v="13838"/>
        <n v="21856"/>
        <n v="41156"/>
        <n v="41978"/>
        <n v="46616"/>
        <n v="9133"/>
        <n v="26054"/>
        <n v="41356"/>
        <n v="2719"/>
        <n v="11887"/>
        <n v="36153"/>
        <n v="21685"/>
        <n v="49601"/>
        <n v="15021"/>
        <n v="15353"/>
        <n v="46470"/>
        <n v="32783"/>
        <n v="9722"/>
        <n v="32835"/>
        <n v="36720"/>
        <n v="1486"/>
        <n v="17354"/>
        <n v="17302"/>
        <n v="19153"/>
        <n v="36616"/>
        <n v="4766"/>
        <n v="25748"/>
        <n v="27880"/>
        <n v="8649"/>
        <n v="30214"/>
        <n v="10749"/>
        <n v="17487"/>
        <n v="32593"/>
        <n v="21911"/>
        <n v="16623"/>
        <n v="29993"/>
        <n v="43114"/>
        <n v="46578"/>
        <n v="15499"/>
        <n v="37740"/>
        <n v="36217"/>
        <n v="33004"/>
        <n v="30761"/>
        <n v="32469"/>
        <n v="37133"/>
        <n v="45767"/>
        <n v="19770"/>
        <n v="29546"/>
        <n v="46620"/>
        <n v="44954"/>
        <n v="24140"/>
        <n v="1848"/>
        <n v="1329"/>
        <n v="34522"/>
        <n v="34972"/>
        <n v="1492"/>
        <n v="40432"/>
        <n v="14261"/>
        <n v="26182"/>
        <n v="33782"/>
        <n v="40651"/>
        <n v="25573"/>
        <n v="31956"/>
        <n v="30983"/>
        <n v="21160"/>
        <n v="43409"/>
        <n v="46392"/>
        <n v="10257"/>
        <n v="17663"/>
        <n v="4175"/>
        <n v="26976"/>
        <n v="32615"/>
        <n v="1411"/>
        <n v="25953"/>
        <n v="4779"/>
        <n v="30313"/>
        <n v="11544"/>
        <n v="48883"/>
        <n v="34649"/>
        <n v="33170"/>
        <n v="22000"/>
        <n v="29744"/>
        <n v="14526"/>
        <n v="25559"/>
        <n v="24965"/>
        <n v="36514"/>
        <n v="46602"/>
        <n v="28326"/>
        <n v="20215"/>
        <n v="23543"/>
        <n v="34365"/>
        <n v="13462"/>
        <n v="32893"/>
        <n v="25596"/>
        <n v="20214"/>
        <n v="1522"/>
        <n v="16585"/>
        <n v="32199"/>
        <n v="37594"/>
        <n v="26559"/>
        <n v="22379"/>
        <n v="41442"/>
        <n v="41228"/>
        <n v="42632"/>
        <n v="28351"/>
        <n v="42915"/>
        <n v="26634"/>
        <n v="21681"/>
        <n v="22835"/>
        <n v="31240"/>
        <n v="9455"/>
        <n v="32910"/>
        <n v="24350"/>
        <n v="17828"/>
        <n v="37249"/>
        <n v="7222"/>
        <n v="5856"/>
        <n v="19148"/>
        <n v="30615"/>
        <n v="33113"/>
        <n v="42794"/>
        <n v="29314"/>
        <n v="47811"/>
        <n v="16660"/>
        <n v="32269"/>
        <n v="10708"/>
        <n v="5489"/>
        <n v="11345"/>
        <n v="8953"/>
        <n v="27251"/>
        <n v="16582"/>
        <n v="20916"/>
        <n v="30905"/>
        <n v="16636"/>
        <n v="9172"/>
        <n v="15055"/>
        <n v="17065"/>
        <n v="20074"/>
        <n v="25684"/>
        <n v="14779"/>
        <n v="20905"/>
        <n v="11761"/>
        <n v="29966"/>
        <n v="32047"/>
        <n v="40972"/>
        <n v="15799"/>
        <n v="28440"/>
        <n v="22584"/>
        <n v="49864"/>
        <n v="15266"/>
        <n v="5128"/>
        <n v="39113"/>
        <n v="12514"/>
        <n v="45452"/>
        <n v="32754"/>
        <n v="20937"/>
        <n v="35777"/>
        <n v="47220"/>
        <n v="28524"/>
        <n v="4900"/>
        <n v="17179"/>
        <n v="42474"/>
        <n v="45750"/>
        <n v="40553"/>
        <n v="6016"/>
        <n v="35859"/>
        <n v="15607"/>
        <n v="3436"/>
        <n v="14001"/>
        <n v="33631"/>
        <n v="39477"/>
        <n v="13808"/>
        <n v="28471"/>
        <n v="3360"/>
        <n v="25685"/>
        <n v="20390"/>
        <n v="22277"/>
        <n v="22108"/>
        <n v="45719"/>
        <n v="10882"/>
        <n v="26352"/>
        <n v="39952"/>
        <n v="21133"/>
        <n v="46966"/>
        <n v="37255"/>
        <n v="18402"/>
        <n v="12823"/>
        <n v="39016"/>
        <n v="49397"/>
        <n v="3098"/>
        <n v="38375"/>
        <n v="2858"/>
        <n v="20696"/>
        <n v="17960"/>
        <n v="15965"/>
        <n v="17227"/>
        <n v="1301"/>
        <n v="1770"/>
        <n v="24712"/>
        <n v="41916"/>
        <n v="40529"/>
        <n v="34645"/>
        <n v="26167"/>
        <n v="49962"/>
        <n v="1972"/>
        <n v="26394"/>
        <n v="30738"/>
        <n v="38835"/>
        <n v="11807"/>
        <n v="30997"/>
        <n v="18807"/>
        <n v="30246"/>
        <n v="1231"/>
        <n v="10434"/>
        <n v="4538"/>
        <n v="10971"/>
        <n v="16546"/>
        <n v="2138"/>
        <n v="20986"/>
        <n v="43574"/>
        <n v="19038"/>
        <n v="29949"/>
        <n v="34019"/>
        <n v="36260"/>
        <n v="16223"/>
        <n v="43749"/>
        <n v="44173"/>
        <n v="34127"/>
        <n v="43000"/>
        <n v="1777"/>
        <n v="4119"/>
        <n v="37525"/>
        <n v="15314"/>
        <n v="28930"/>
        <n v="1592"/>
        <n v="40612"/>
        <n v="12763"/>
        <n v="22509"/>
        <n v="20868"/>
        <n v="28254"/>
        <n v="47553"/>
        <n v="15580"/>
        <n v="36442"/>
        <n v="24252"/>
        <n v="39816"/>
        <n v="19598"/>
        <n v="2658"/>
        <n v="22742"/>
        <n v="16758"/>
        <n v="4842"/>
        <n v="28098"/>
        <n v="10132"/>
        <n v="48131"/>
        <n v="23783"/>
        <n v="38134"/>
        <n v="29754"/>
        <n v="35523"/>
        <n v="39611"/>
        <n v="5976"/>
        <n v="19800"/>
        <n v="42087"/>
        <n v="49229"/>
        <n v="45151"/>
        <n v="39729"/>
        <n v="11137"/>
        <n v="14269"/>
        <n v="4115"/>
        <n v="28423"/>
        <n v="15485"/>
        <n v="8798"/>
        <n v="4850"/>
        <n v="38304"/>
        <n v="32258"/>
        <n v="25111"/>
        <n v="3802"/>
        <n v="30473"/>
        <n v="26345"/>
        <n v="49772"/>
        <n v="33824"/>
        <n v="10298"/>
        <n v="8780"/>
        <n v="14892"/>
        <n v="31546"/>
        <n v="25507"/>
        <n v="48715"/>
        <n v="30359"/>
        <n v="14519"/>
        <n v="39963"/>
        <n v="14108"/>
        <n v="42438"/>
        <n v="12478"/>
        <n v="43294"/>
        <n v="41727"/>
        <n v="18900"/>
        <n v="33935"/>
        <n v="29491"/>
        <n v="47958"/>
        <n v="39809"/>
        <n v="26564"/>
        <n v="28942"/>
        <n v="38415"/>
        <n v="37982"/>
        <n v="28332"/>
        <n v="28078"/>
        <n v="1117"/>
        <n v="7812"/>
        <n v="33441"/>
        <n v="6130"/>
        <n v="9186"/>
        <n v="41256"/>
        <n v="2350"/>
        <n v="21861"/>
        <n v="37724"/>
        <n v="27570"/>
        <n v="18899"/>
        <n v="23993"/>
        <n v="4075"/>
        <n v="13865"/>
        <n v="12836"/>
        <n v="32484"/>
        <n v="12594"/>
        <n v="35920"/>
        <n v="45080"/>
        <n v="7097"/>
        <n v="32272"/>
        <n v="41305"/>
        <n v="6165"/>
        <n v="3760"/>
        <n v="1699"/>
        <n v="47912"/>
        <n v="33505"/>
        <n v="23360"/>
        <n v="45836"/>
        <n v="26663"/>
        <n v="22700"/>
        <n v="23054"/>
        <n v="37393"/>
        <n v="11558"/>
        <n v="7855"/>
        <n v="30566"/>
        <n v="23247"/>
        <n v="18665"/>
        <n v="8735"/>
        <n v="33093"/>
        <n v="12727"/>
        <n v="26479"/>
        <n v="28345"/>
        <n v="16791"/>
        <n v="1788"/>
        <n v="42076"/>
        <n v="42637"/>
        <n v="5918"/>
        <n v="7096"/>
        <n v="14676"/>
        <n v="28337"/>
        <n v="34565"/>
        <n v="9190"/>
        <n v="21505"/>
        <n v="5404"/>
        <n v="49043"/>
        <n v="40962"/>
        <n v="17536"/>
        <n v="14813"/>
        <n v="44230"/>
        <n v="46351"/>
        <n v="28088"/>
        <n v="33627"/>
        <n v="38824"/>
        <n v="3089"/>
        <n v="24517"/>
        <n v="25578"/>
        <n v="19299"/>
        <n v="35974"/>
        <n v="1598"/>
        <n v="46460"/>
        <n v="7773"/>
        <n v="18211"/>
        <n v="24007"/>
        <n v="19627"/>
        <n v="32636"/>
        <n v="42665"/>
        <n v="41272"/>
        <n v="41888"/>
        <n v="11455"/>
        <n v="5947"/>
        <n v="42968"/>
        <n v="1233"/>
        <n v="48490"/>
        <n v="45203"/>
        <n v="38948"/>
        <n v="22125"/>
        <n v="3341"/>
        <n v="30721"/>
        <n v="44406"/>
        <n v="29359"/>
        <n v="43230"/>
        <n v="44423"/>
        <n v="45926"/>
        <n v="15706"/>
        <n v="28766"/>
        <n v="29230"/>
        <n v="10654"/>
        <n v="13939"/>
        <n v="29077"/>
        <n v="35744"/>
        <n v="22592"/>
        <n v="22730"/>
        <n v="7696"/>
        <n v="30159"/>
        <n v="31641"/>
        <n v="45896"/>
        <n v="15290"/>
        <n v="2653"/>
        <n v="48316"/>
        <n v="3737"/>
        <n v="30409"/>
        <n v="8357"/>
        <n v="25492"/>
        <n v="22964"/>
        <n v="11656"/>
        <n v="3690"/>
        <n v="5308"/>
        <n v="21947"/>
        <n v="20706"/>
        <n v="9959"/>
        <n v="23476"/>
        <n v="35390"/>
        <n v="3153"/>
        <n v="31617"/>
        <n v="42692"/>
        <n v="35394"/>
        <n v="26804"/>
        <n v="7106"/>
        <n v="30194"/>
        <n v="22974"/>
        <n v="14793"/>
        <n v="11743"/>
        <n v="11932"/>
        <n v="48095"/>
        <n v="30188"/>
        <n v="1499"/>
        <n v="13155"/>
        <n v="12327"/>
        <n v="2668"/>
        <n v="41269"/>
        <n v="26648"/>
        <n v="47763"/>
        <n v="22865"/>
        <n v="6810"/>
        <n v="15232"/>
        <n v="28963"/>
        <n v="10918"/>
        <n v="15335"/>
        <n v="29393"/>
        <n v="48696"/>
        <n v="17664"/>
        <n v="10114"/>
        <n v="49691"/>
        <n v="12202"/>
        <n v="39296"/>
        <n v="24977"/>
        <n v="3422"/>
        <n v="40096"/>
        <n v="49748"/>
        <n v="42746"/>
        <n v="31902"/>
        <n v="14925"/>
        <n v="49285"/>
        <n v="27122"/>
        <n v="9065"/>
        <n v="38483"/>
        <n v="35271"/>
        <n v="27833"/>
        <n v="13450"/>
        <n v="34258"/>
        <n v="6288"/>
        <n v="16995"/>
        <n v="48959"/>
        <n v="36009"/>
        <n v="7692"/>
        <n v="37875"/>
        <n v="37464"/>
        <n v="27188"/>
        <n v="2969"/>
        <n v="43091"/>
        <n v="22675"/>
        <n v="41328"/>
        <n v="27895"/>
        <n v="17762"/>
        <n v="1367"/>
        <n v="23237"/>
        <n v="17373"/>
        <n v="49986"/>
        <n v="35133"/>
        <n v="37823"/>
        <n v="45903"/>
        <n v="24056"/>
        <n v="14104"/>
        <n v="21572"/>
        <n v="3487"/>
        <n v="3858"/>
        <n v="39240"/>
        <n v="38068"/>
        <n v="13438"/>
        <n v="28350"/>
        <n v="28072"/>
        <n v="29529"/>
        <n v="26712"/>
        <n v="23635"/>
        <n v="40658"/>
        <n v="30681"/>
        <n v="40381"/>
        <n v="28594"/>
        <n v="44778"/>
        <n v="14853"/>
        <n v="29645"/>
        <n v="43589"/>
        <n v="2979"/>
        <n v="4688"/>
        <n v="24534"/>
        <n v="23684"/>
        <n v="19968"/>
        <n v="23292"/>
        <n v="13102"/>
        <n v="24617"/>
        <n v="10837"/>
        <n v="29008"/>
        <n v="9255"/>
        <n v="3828"/>
        <n v="46219"/>
        <n v="37678"/>
        <n v="35389"/>
        <n v="11533"/>
        <n v="37206"/>
        <n v="6442"/>
        <n v="47317"/>
        <n v="17927"/>
        <n v="49452"/>
        <n v="37493"/>
        <n v="37610"/>
        <n v="3735"/>
        <n v="43198"/>
        <n v="24265"/>
        <n v="12997"/>
        <n v="25162"/>
        <n v="31985"/>
        <n v="24924"/>
        <n v="35184"/>
        <n v="7349"/>
        <n v="41330"/>
        <n v="5212"/>
        <n v="15537"/>
        <n v="15777"/>
        <n v="32819"/>
        <n v="41566"/>
        <n v="42268"/>
        <n v="28361"/>
        <n v="43524"/>
        <n v="42567"/>
        <n v="11577"/>
        <n v="21763"/>
        <n v="36872"/>
        <n v="29505"/>
        <n v="3961"/>
        <n v="9822"/>
        <n v="18160"/>
        <n v="45168"/>
        <n v="19837"/>
        <n v="16306"/>
        <n v="28974"/>
        <n v="28539"/>
        <n v="40609"/>
        <n v="38392"/>
        <n v="38994"/>
        <n v="18147"/>
        <n v="8312"/>
        <n v="29324"/>
        <n v="22816"/>
        <n v="4782"/>
        <n v="3639"/>
        <n v="16495"/>
        <n v="47213"/>
        <n v="27514"/>
        <n v="22233"/>
        <n v="17518"/>
        <n v="5964"/>
        <n v="33901"/>
        <n v="9819"/>
        <n v="34947"/>
        <n v="43643"/>
        <n v="38320"/>
        <n v="13397"/>
        <n v="3071"/>
        <n v="27219"/>
        <n v="39898"/>
        <n v="17817"/>
        <n v="3572"/>
        <n v="43213"/>
        <n v="40843"/>
        <n v="18094"/>
        <n v="30785"/>
        <n v="32408"/>
        <n v="4285"/>
        <n v="39307"/>
        <n v="38388"/>
        <n v="27581"/>
        <n v="12117"/>
        <n v="2928"/>
        <n v="35619"/>
        <n v="21030"/>
        <n v="40997"/>
        <n v="22662"/>
        <n v="42700"/>
        <n v="28115"/>
        <n v="2564"/>
        <n v="22796"/>
        <n v="30821"/>
        <n v="41761"/>
        <n v="22547"/>
        <n v="28938"/>
        <n v="44347"/>
        <n v="22714"/>
        <n v="6484"/>
        <n v="27371"/>
        <n v="1534"/>
        <n v="9353"/>
        <n v="31302"/>
        <n v="49778"/>
        <n v="41599"/>
        <n v="38634"/>
        <n v="40534"/>
        <n v="36377"/>
        <n v="30863"/>
        <n v="43247"/>
        <n v="21795"/>
        <n v="15841"/>
        <n v="18265"/>
        <n v="10342"/>
        <n v="45058"/>
        <n v="48538"/>
        <n v="6205"/>
        <n v="10109"/>
        <n v="37726"/>
        <n v="11276"/>
        <n v="33794"/>
        <n v="40903"/>
        <n v="27260"/>
        <n v="19199"/>
        <n v="17111"/>
        <n v="39012"/>
        <n v="17741"/>
        <n v="29112"/>
        <n v="47839"/>
        <n v="16139"/>
        <n v="33103"/>
        <n v="44121"/>
        <n v="10346"/>
        <n v="28043"/>
        <n v="39197"/>
        <n v="27950"/>
        <n v="33405"/>
        <n v="14728"/>
        <n v="44042"/>
        <n v="26954"/>
        <n v="49128"/>
        <n v="40850"/>
        <n v="49839"/>
        <n v="29695"/>
        <n v="8141"/>
        <n v="46285"/>
        <n v="13345"/>
        <n v="24713"/>
        <n v="13764"/>
        <n v="35872"/>
        <n v="12431"/>
        <n v="27443"/>
        <n v="8379"/>
        <n v="32355"/>
        <n v="40033"/>
        <n v="5001"/>
        <n v="35398"/>
        <n v="27927"/>
        <n v="27940"/>
        <n v="45734"/>
        <n v="19924"/>
        <n v="49294"/>
        <n v="33741"/>
        <n v="46316"/>
        <n v="35441"/>
        <n v="4074"/>
        <n v="22164"/>
        <n v="35865"/>
        <n v="25965"/>
        <n v="10189"/>
        <n v="18843"/>
        <n v="37032"/>
        <n v="38333"/>
        <n v="42870"/>
        <n v="45857"/>
        <n v="21517"/>
        <n v="40961"/>
        <n v="6114"/>
        <n v="36660"/>
        <n v="4193"/>
        <n v="33167"/>
        <n v="13847"/>
        <n v="47873"/>
        <n v="34888"/>
        <n v="35098"/>
        <n v="15547"/>
        <n v="15465"/>
        <n v="44930"/>
        <n v="16796"/>
        <n v="9606"/>
        <n v="21278"/>
        <n v="25494"/>
        <n v="23908"/>
        <n v="37749"/>
        <n v="40826"/>
        <n v="2187"/>
        <n v="37828"/>
        <n v="42709"/>
        <n v="35945"/>
        <n v="22950"/>
        <n v="44378"/>
        <n v="49562"/>
        <n v="35849"/>
        <n v="43406"/>
        <n v="41492"/>
        <n v="17378"/>
        <n v="37383"/>
        <n v="22075"/>
        <n v="26875"/>
        <n v="12807"/>
        <n v="36531"/>
        <n v="19362"/>
        <n v="46343"/>
        <n v="25909"/>
        <n v="19258"/>
        <n v="1292"/>
        <n v="6514"/>
        <n v="7865"/>
        <n v="15045"/>
        <n v="13928"/>
        <n v="10084"/>
        <n v="27023"/>
        <n v="42571"/>
        <n v="33459"/>
        <n v="5852"/>
        <n v="30089"/>
        <n v="23249"/>
        <n v="14747"/>
        <n v="26612"/>
        <n v="22505"/>
        <n v="12698"/>
        <n v="37974"/>
        <n v="37893"/>
        <n v="47774"/>
        <n v="36990"/>
        <n v="13263"/>
        <n v="30037"/>
        <n v="30322"/>
        <n v="2052"/>
        <n v="1790"/>
        <n v="5568"/>
        <n v="35739"/>
        <n v="39318"/>
        <n v="7230"/>
        <n v="39173"/>
        <n v="31678"/>
        <n v="3950"/>
        <n v="11503"/>
        <n v="23935"/>
        <n v="42507"/>
        <n v="40085"/>
        <n v="27518"/>
        <n v="44610"/>
        <n v="35793"/>
        <n v="36979"/>
        <n v="12221"/>
        <n v="11238"/>
        <n v="39119"/>
      </sharedItems>
    </cacheField>
    <cacheField name="Revenue/Unit " numFmtId="165">
      <sharedItems containsSemiMixedTypes="0" containsString="0" containsNumber="1" minValue="0.73791170287316044" maxValue="442.86363636363637"/>
    </cacheField>
    <cacheField name="Field1" numFmtId="0">
      <sharedItems containsNonDate="0" containsString="0" containsBlank="1"/>
    </cacheField>
    <cacheField name="Months (Sale Date)" numFmtId="0" databaseField="0">
      <fieldGroup base="7">
        <rangePr groupBy="months" startDate="2023-07-29T00:00:00" endDate="2024-07-29T00:00:00"/>
        <groupItems count="14">
          <s v="&lt;29-07-2023"/>
          <s v="Jan"/>
          <s v="Feb"/>
          <s v="Mar"/>
          <s v="Apr"/>
          <s v="May"/>
          <s v="Jun"/>
          <s v="Jul"/>
          <s v="Aug"/>
          <s v="Sep"/>
          <s v="Oct"/>
          <s v="Nov"/>
          <s v="Dec"/>
          <s v="&gt;29-07-2024"/>
        </groupItems>
      </fieldGroup>
    </cacheField>
    <cacheField name="Quarters (Sale Date)" numFmtId="0" databaseField="0">
      <fieldGroup base="7">
        <rangePr groupBy="quarters" startDate="2023-07-29T00:00:00" endDate="2024-07-29T00:00:00"/>
        <groupItems count="6">
          <s v="&lt;29-07-2023"/>
          <s v="Qtr1"/>
          <s v="Qtr2"/>
          <s v="Qtr3"/>
          <s v="Qtr4"/>
          <s v="&gt;29-07-2024"/>
        </groupItems>
      </fieldGroup>
    </cacheField>
    <cacheField name="Years (Sale Date)" numFmtId="0" databaseField="0">
      <fieldGroup base="7">
        <rangePr groupBy="years" startDate="2023-07-29T00:00:00" endDate="2024-07-29T00:00:00"/>
        <groupItems count="4">
          <s v="&lt;29-07-2023"/>
          <s v="2023"/>
          <s v="2024"/>
          <s v="&gt;29-07-2024"/>
        </groupItems>
      </fieldGroup>
    </cacheField>
  </cacheFields>
  <extLst>
    <ext xmlns:x14="http://schemas.microsoft.com/office/spreadsheetml/2009/9/main" uri="{725AE2AE-9491-48be-B2B4-4EB974FC3084}">
      <x14:pivotCacheDefinition pivotCacheId="8789846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Company W"/>
    <s v="Tablet"/>
    <s v="100 mg/ml"/>
    <s v="50 g"/>
    <n v="1500"/>
    <s v="$43833"/>
    <x v="0"/>
    <x v="0"/>
    <s v="Susan Hernandez"/>
    <s v="Clinics"/>
    <n v="43833"/>
    <n v="29.222000000000001"/>
    <m/>
    <m/>
  </r>
  <r>
    <x v="0"/>
    <s v="Company X"/>
    <s v="Cream"/>
    <s v="500 mg"/>
    <s v="100 ml"/>
    <n v="1194"/>
    <s v="$48717"/>
    <x v="1"/>
    <x v="0"/>
    <s v="Jackie Wagner"/>
    <s v="Clinics"/>
    <n v="48717"/>
    <n v="40.801507537688444"/>
    <m/>
    <m/>
  </r>
  <r>
    <x v="1"/>
    <s v="Company X"/>
    <s v="Capsule"/>
    <s v="50 mg"/>
    <n v="60"/>
    <n v="618"/>
    <s v="$8744"/>
    <x v="2"/>
    <x v="1"/>
    <s v="Mariah Mccoy"/>
    <s v="Hospitals"/>
    <n v="8744"/>
    <n v="14.148867313915858"/>
    <m/>
    <m/>
  </r>
  <r>
    <x v="1"/>
    <s v="Company X"/>
    <s v="Injection"/>
    <s v="10 mg"/>
    <s v="100 ml"/>
    <n v="1455"/>
    <s v="$25321"/>
    <x v="3"/>
    <x v="2"/>
    <s v="Courtney Doyle"/>
    <s v="Pharmacy"/>
    <n v="25321"/>
    <n v="17.402749140893469"/>
    <m/>
    <b v="1"/>
  </r>
  <r>
    <x v="2"/>
    <s v="Company V"/>
    <s v="Tablet"/>
    <s v="100 mg/ml"/>
    <s v="50 g"/>
    <n v="130"/>
    <s v="$13669"/>
    <x v="4"/>
    <x v="0"/>
    <s v="Dawn Torres"/>
    <s v="Clinics"/>
    <n v="13669"/>
    <n v="105.14615384615385"/>
    <m/>
    <m/>
  </r>
  <r>
    <x v="0"/>
    <s v="Company V"/>
    <s v="Capsule"/>
    <s v="100 mg/ml"/>
    <s v="10 ml"/>
    <n v="619"/>
    <s v="$7552"/>
    <x v="5"/>
    <x v="3"/>
    <s v="Jessica Faulkner"/>
    <s v="Hospitals"/>
    <n v="7552"/>
    <n v="12.200323101777061"/>
    <m/>
    <m/>
  </r>
  <r>
    <x v="2"/>
    <s v="Company X"/>
    <s v="Cream"/>
    <s v="500 mg"/>
    <n v="30"/>
    <n v="1779"/>
    <s v="$48563"/>
    <x v="1"/>
    <x v="4"/>
    <s v="Alicia Howard"/>
    <s v="Hospitals"/>
    <n v="48563"/>
    <n v="27.297920179876336"/>
    <m/>
    <m/>
  </r>
  <r>
    <x v="0"/>
    <s v="Company X"/>
    <s v="Tablet"/>
    <s v="500 mg"/>
    <s v="10 ml"/>
    <n v="1727"/>
    <s v="$13672"/>
    <x v="6"/>
    <x v="2"/>
    <s v="David Hill"/>
    <s v="Online Pharmacy"/>
    <n v="13672"/>
    <n v="7.9166184134337003"/>
    <m/>
    <m/>
  </r>
  <r>
    <x v="3"/>
    <s v="Company V"/>
    <s v="Capsule"/>
    <s v="500 mg"/>
    <s v="50 g"/>
    <n v="451"/>
    <s v="$45835"/>
    <x v="7"/>
    <x v="2"/>
    <s v="Matthew Johnson"/>
    <s v="Supermarkets"/>
    <n v="45835"/>
    <n v="101.62971175166297"/>
    <m/>
    <m/>
  </r>
  <r>
    <x v="2"/>
    <s v="Company X"/>
    <s v="Cream"/>
    <s v="10 mg"/>
    <s v="10 ml"/>
    <n v="1006"/>
    <s v="$31716"/>
    <x v="8"/>
    <x v="2"/>
    <s v="Kimberly Murphy"/>
    <s v="Supermarkets"/>
    <n v="31716"/>
    <n v="31.526838966202785"/>
    <m/>
    <m/>
  </r>
  <r>
    <x v="2"/>
    <s v="Company Y"/>
    <s v="Capsule"/>
    <s v="50 mg"/>
    <s v="100 ml"/>
    <n v="1633"/>
    <s v="$33931"/>
    <x v="9"/>
    <x v="3"/>
    <s v="Tyler Brown"/>
    <s v="Pharmacy"/>
    <n v="33931"/>
    <n v="20.778322106552359"/>
    <m/>
    <m/>
  </r>
  <r>
    <x v="3"/>
    <s v="Company Z"/>
    <s v="Cream"/>
    <s v="50 mg"/>
    <n v="30"/>
    <n v="128"/>
    <s v="$35258"/>
    <x v="10"/>
    <x v="4"/>
    <s v="Sheila Coleman"/>
    <s v="Online Pharmacy"/>
    <n v="35258"/>
    <n v="275.453125"/>
    <m/>
    <m/>
  </r>
  <r>
    <x v="2"/>
    <s v="Company V"/>
    <s v="Injection"/>
    <s v="500 mg"/>
    <s v="10 ml"/>
    <n v="504"/>
    <s v="$36459"/>
    <x v="11"/>
    <x v="3"/>
    <s v="Douglas Rodriguez"/>
    <s v="Pharmacy"/>
    <n v="36459"/>
    <n v="72.339285714285708"/>
    <m/>
    <m/>
  </r>
  <r>
    <x v="1"/>
    <s v="Company V"/>
    <s v="Cream"/>
    <s v="500 mg"/>
    <s v="100 ml"/>
    <n v="216"/>
    <s v="$32152"/>
    <x v="12"/>
    <x v="3"/>
    <s v="Brandi King"/>
    <s v="Pharmacy"/>
    <n v="32152"/>
    <n v="148.85185185185185"/>
    <m/>
    <m/>
  </r>
  <r>
    <x v="1"/>
    <s v="Company V"/>
    <s v="Injection"/>
    <s v="10 mg"/>
    <s v="10 ml"/>
    <n v="1986"/>
    <s v="$13538"/>
    <x v="13"/>
    <x v="3"/>
    <s v="Susan Brewer"/>
    <s v="Pharmacy"/>
    <n v="13538"/>
    <n v="6.8167170191339377"/>
    <m/>
    <m/>
  </r>
  <r>
    <x v="3"/>
    <s v="Company W"/>
    <s v="Cream"/>
    <s v="50 mg"/>
    <n v="30"/>
    <n v="1977"/>
    <s v="$9566"/>
    <x v="14"/>
    <x v="1"/>
    <s v="Latoya Wright"/>
    <s v="Online Pharmacy"/>
    <n v="9566"/>
    <n v="4.838644410723318"/>
    <m/>
    <m/>
  </r>
  <r>
    <x v="3"/>
    <s v="Company V"/>
    <s v="Tablet"/>
    <s v="100 mg/ml"/>
    <s v="50 g"/>
    <n v="1320"/>
    <s v="$29932"/>
    <x v="15"/>
    <x v="4"/>
    <s v="Richard Edwards"/>
    <s v="Clinics"/>
    <n v="29932"/>
    <n v="22.675757575757576"/>
    <m/>
    <m/>
  </r>
  <r>
    <x v="1"/>
    <s v="Company W"/>
    <s v="Cream"/>
    <s v="10 mg"/>
    <n v="30"/>
    <n v="1766"/>
    <s v="$45608"/>
    <x v="16"/>
    <x v="0"/>
    <s v="Mr. Michael Taylor"/>
    <s v="Pharmacy"/>
    <n v="45608"/>
    <n v="25.82559456398641"/>
    <m/>
    <m/>
  </r>
  <r>
    <x v="0"/>
    <s v="Company X"/>
    <s v="Syrup"/>
    <s v="100 mg/ml"/>
    <n v="60"/>
    <n v="1078"/>
    <s v="$42394"/>
    <x v="17"/>
    <x v="0"/>
    <s v="Angela Castro"/>
    <s v="Online Pharmacy"/>
    <n v="42394"/>
    <n v="39.326530612244895"/>
    <m/>
    <m/>
  </r>
  <r>
    <x v="2"/>
    <s v="Company X"/>
    <s v="Injection"/>
    <s v="500 mg"/>
    <n v="60"/>
    <n v="783"/>
    <s v="$48016"/>
    <x v="18"/>
    <x v="2"/>
    <s v="Christie Brown"/>
    <s v="Clinics"/>
    <n v="48016"/>
    <n v="61.323116219667945"/>
    <m/>
    <m/>
  </r>
  <r>
    <x v="1"/>
    <s v="Company X"/>
    <s v="Capsule"/>
    <s v="100 mg/ml"/>
    <n v="60"/>
    <n v="1161"/>
    <s v="$11048"/>
    <x v="19"/>
    <x v="3"/>
    <s v="Annette Fisher"/>
    <s v="Clinics"/>
    <n v="11048"/>
    <n v="9.5159345391903525"/>
    <m/>
    <m/>
  </r>
  <r>
    <x v="3"/>
    <s v="Company X"/>
    <s v="Capsule"/>
    <s v="50 mg"/>
    <s v="50 g"/>
    <n v="1820"/>
    <s v="$16952"/>
    <x v="20"/>
    <x v="1"/>
    <s v="Katelyn Smith"/>
    <s v="Hospitals"/>
    <n v="16952"/>
    <n v="9.3142857142857149"/>
    <m/>
    <m/>
  </r>
  <r>
    <x v="4"/>
    <s v="Company V"/>
    <s v="Tablet"/>
    <s v="50 mg"/>
    <n v="60"/>
    <n v="147"/>
    <s v="$28543"/>
    <x v="21"/>
    <x v="1"/>
    <s v="Crystal Lawrence"/>
    <s v="Hospitals"/>
    <n v="28543"/>
    <n v="194.17006802721087"/>
    <m/>
    <m/>
  </r>
  <r>
    <x v="0"/>
    <s v="Company Z"/>
    <s v="Capsule"/>
    <s v="250 mg"/>
    <n v="60"/>
    <n v="990"/>
    <s v="$5766"/>
    <x v="22"/>
    <x v="4"/>
    <s v="Katherine Sexton"/>
    <s v="Online Pharmacy"/>
    <n v="5766"/>
    <n v="5.8242424242424242"/>
    <m/>
    <m/>
  </r>
  <r>
    <x v="0"/>
    <s v="Company Z"/>
    <s v="Injection"/>
    <s v="500 mg"/>
    <n v="60"/>
    <n v="223"/>
    <s v="$23153"/>
    <x v="23"/>
    <x v="2"/>
    <s v="Felicia Jones"/>
    <s v="Online Pharmacy"/>
    <n v="23153"/>
    <n v="103.82511210762331"/>
    <m/>
    <m/>
  </r>
  <r>
    <x v="4"/>
    <s v="Company Z"/>
    <s v="Syrup"/>
    <s v="250 mg"/>
    <s v="50 g"/>
    <n v="855"/>
    <s v="$22920"/>
    <x v="24"/>
    <x v="0"/>
    <s v="Lisa Johnson"/>
    <s v="Supermarkets"/>
    <n v="22920"/>
    <n v="26.807017543859651"/>
    <m/>
    <m/>
  </r>
  <r>
    <x v="2"/>
    <s v="Company X"/>
    <s v="Cream"/>
    <s v="50 mg"/>
    <s v="100 ml"/>
    <n v="968"/>
    <s v="$6595"/>
    <x v="25"/>
    <x v="1"/>
    <s v="Amber Hill"/>
    <s v="Hospitals"/>
    <n v="6595"/>
    <n v="6.8130165289256199"/>
    <m/>
    <m/>
  </r>
  <r>
    <x v="0"/>
    <s v="Company W"/>
    <s v="Cream"/>
    <s v="10 mg"/>
    <s v="10 ml"/>
    <n v="1378"/>
    <s v="$37523"/>
    <x v="26"/>
    <x v="0"/>
    <s v="Rebecca Lawrence"/>
    <s v="Online Pharmacy"/>
    <n v="37523"/>
    <n v="27.230043541364296"/>
    <m/>
    <m/>
  </r>
  <r>
    <x v="0"/>
    <s v="Company Z"/>
    <s v="Tablet"/>
    <s v="500 mg"/>
    <s v="100 ml"/>
    <n v="1473"/>
    <s v="$23815"/>
    <x v="27"/>
    <x v="0"/>
    <s v="John Smith"/>
    <s v="Supermarkets"/>
    <n v="23815"/>
    <n v="16.167684996605566"/>
    <m/>
    <m/>
  </r>
  <r>
    <x v="2"/>
    <s v="Company X"/>
    <s v="Capsule"/>
    <s v="250 mg"/>
    <s v="100 ml"/>
    <n v="791"/>
    <s v="$40754"/>
    <x v="28"/>
    <x v="1"/>
    <s v="Scott Jones"/>
    <s v="Hospitals"/>
    <n v="40754"/>
    <n v="51.522123893805308"/>
    <m/>
    <m/>
  </r>
  <r>
    <x v="2"/>
    <s v="Company V"/>
    <s v="Tablet"/>
    <s v="10 mg"/>
    <s v="50 g"/>
    <n v="1523"/>
    <s v="$35645"/>
    <x v="29"/>
    <x v="0"/>
    <s v="Cynthia Cook"/>
    <s v="Clinics"/>
    <n v="35645"/>
    <n v="23.404464871963231"/>
    <m/>
    <m/>
  </r>
  <r>
    <x v="1"/>
    <s v="Company W"/>
    <s v="Cream"/>
    <s v="250 mg"/>
    <s v="50 g"/>
    <n v="1214"/>
    <s v="$1820"/>
    <x v="30"/>
    <x v="0"/>
    <s v="Randy Dunn"/>
    <s v="Online Pharmacy"/>
    <n v="1820"/>
    <n v="1.4991762767710048"/>
    <m/>
    <m/>
  </r>
  <r>
    <x v="2"/>
    <s v="Company V"/>
    <s v="Injection"/>
    <s v="250 mg"/>
    <n v="60"/>
    <n v="440"/>
    <s v="$13578"/>
    <x v="31"/>
    <x v="2"/>
    <s v="Michael Cisneros"/>
    <s v="Hospitals"/>
    <n v="13578"/>
    <n v="30.859090909090909"/>
    <m/>
    <m/>
  </r>
  <r>
    <x v="4"/>
    <s v="Company Y"/>
    <s v="Syrup"/>
    <s v="10 mg"/>
    <n v="60"/>
    <n v="1574"/>
    <s v="$47682"/>
    <x v="32"/>
    <x v="1"/>
    <s v="Crystal Keller"/>
    <s v="Supermarkets"/>
    <n v="47682"/>
    <n v="30.293519695044473"/>
    <m/>
    <m/>
  </r>
  <r>
    <x v="3"/>
    <s v="Company W"/>
    <s v="Cream"/>
    <s v="250 mg"/>
    <s v="50 g"/>
    <n v="1880"/>
    <s v="$41604"/>
    <x v="33"/>
    <x v="4"/>
    <s v="Christina Lopez"/>
    <s v="Pharmacy"/>
    <n v="41604"/>
    <n v="22.129787234042553"/>
    <m/>
    <m/>
  </r>
  <r>
    <x v="1"/>
    <s v="Company Z"/>
    <s v="Tablet"/>
    <s v="100 mg/ml"/>
    <s v="10 ml"/>
    <n v="383"/>
    <s v="$21024"/>
    <x v="34"/>
    <x v="0"/>
    <s v="Christopher Taylor"/>
    <s v="Hospitals"/>
    <n v="21024"/>
    <n v="54.892950391644909"/>
    <m/>
    <m/>
  </r>
  <r>
    <x v="1"/>
    <s v="Company Y"/>
    <s v="Injection"/>
    <s v="10 mg"/>
    <s v="10 ml"/>
    <n v="253"/>
    <s v="$18363"/>
    <x v="35"/>
    <x v="0"/>
    <s v="Lisa Alvarado"/>
    <s v="Online Pharmacy"/>
    <n v="18363"/>
    <n v="72.581027667984188"/>
    <m/>
    <m/>
  </r>
  <r>
    <x v="2"/>
    <s v="Company Y"/>
    <s v="Syrup"/>
    <s v="100 mg/ml"/>
    <n v="30"/>
    <n v="1818"/>
    <s v="$2347"/>
    <x v="36"/>
    <x v="1"/>
    <s v="Kerry Oneill"/>
    <s v="Online Pharmacy"/>
    <n v="2347"/>
    <n v="1.290979097909791"/>
    <m/>
    <m/>
  </r>
  <r>
    <x v="1"/>
    <s v="Company Z"/>
    <s v="Tablet"/>
    <s v="250 mg"/>
    <s v="50 g"/>
    <n v="1351"/>
    <s v="$41781"/>
    <x v="37"/>
    <x v="2"/>
    <s v="Stephanie Collins"/>
    <s v="Clinics"/>
    <n v="41781"/>
    <n v="30.925980754996299"/>
    <m/>
    <m/>
  </r>
  <r>
    <x v="0"/>
    <s v="Company Y"/>
    <s v="Syrup"/>
    <s v="50 mg"/>
    <s v="10 ml"/>
    <n v="1904"/>
    <s v="$34028"/>
    <x v="38"/>
    <x v="1"/>
    <s v="Brian Williams"/>
    <s v="Hospitals"/>
    <n v="34028"/>
    <n v="17.8718487394958"/>
    <m/>
    <m/>
  </r>
  <r>
    <x v="0"/>
    <s v="Company W"/>
    <s v="Injection"/>
    <s v="100 mg/ml"/>
    <s v="10 ml"/>
    <n v="1954"/>
    <s v="$6369"/>
    <x v="39"/>
    <x v="1"/>
    <s v="Laura Vance"/>
    <s v="Supermarkets"/>
    <n v="6369"/>
    <n v="3.2594677584442171"/>
    <m/>
    <m/>
  </r>
  <r>
    <x v="3"/>
    <s v="Company V"/>
    <s v="Capsule"/>
    <s v="100 mg/ml"/>
    <n v="60"/>
    <n v="1042"/>
    <s v="$18788"/>
    <x v="40"/>
    <x v="3"/>
    <s v="Sierra Edwards"/>
    <s v="Clinics"/>
    <n v="18788"/>
    <n v="18.030710172744723"/>
    <m/>
    <m/>
  </r>
  <r>
    <x v="4"/>
    <s v="Company V"/>
    <s v="Cream"/>
    <s v="250 mg"/>
    <s v="10 ml"/>
    <n v="1564"/>
    <s v="$22868"/>
    <x v="41"/>
    <x v="0"/>
    <s v="Lisa Hunter"/>
    <s v="Supermarkets"/>
    <n v="22868"/>
    <n v="14.621483375959079"/>
    <m/>
    <m/>
  </r>
  <r>
    <x v="2"/>
    <s v="Company Y"/>
    <s v="Syrup"/>
    <s v="100 mg/ml"/>
    <s v="100 ml"/>
    <n v="1741"/>
    <s v="$16211"/>
    <x v="42"/>
    <x v="1"/>
    <s v="Jeffrey Lane"/>
    <s v="Clinics"/>
    <n v="16211"/>
    <n v="9.3113153360137844"/>
    <m/>
    <m/>
  </r>
  <r>
    <x v="2"/>
    <s v="Company V"/>
    <s v="Syrup"/>
    <s v="250 mg"/>
    <s v="50 g"/>
    <n v="565"/>
    <s v="$32496"/>
    <x v="43"/>
    <x v="0"/>
    <s v="Terri Floyd"/>
    <s v="Supermarkets"/>
    <n v="32496"/>
    <n v="57.515044247787614"/>
    <m/>
    <m/>
  </r>
  <r>
    <x v="2"/>
    <s v="Company V"/>
    <s v="Capsule"/>
    <s v="500 mg"/>
    <s v="50 g"/>
    <n v="293"/>
    <s v="$40588"/>
    <x v="44"/>
    <x v="4"/>
    <s v="Patrick Valenzuela"/>
    <s v="Supermarkets"/>
    <n v="40588"/>
    <n v="138.52559726962457"/>
    <m/>
    <m/>
  </r>
  <r>
    <x v="1"/>
    <s v="Company Y"/>
    <s v="Capsule"/>
    <s v="500 mg"/>
    <s v="10 ml"/>
    <n v="1032"/>
    <s v="$23173"/>
    <x v="45"/>
    <x v="1"/>
    <s v="Todd Roberts"/>
    <s v="Supermarkets"/>
    <n v="23173"/>
    <n v="22.454457364341085"/>
    <m/>
    <m/>
  </r>
  <r>
    <x v="3"/>
    <s v="Company Z"/>
    <s v="Capsule"/>
    <s v="250 mg"/>
    <s v="10 ml"/>
    <n v="1315"/>
    <s v="$3801"/>
    <x v="46"/>
    <x v="0"/>
    <s v="Jessica Donovan"/>
    <s v="Clinics"/>
    <n v="3801"/>
    <n v="2.890494296577947"/>
    <m/>
    <m/>
  </r>
  <r>
    <x v="0"/>
    <s v="Company X"/>
    <s v="Syrup"/>
    <s v="100 mg/ml"/>
    <n v="60"/>
    <n v="1499"/>
    <s v="$18175"/>
    <x v="47"/>
    <x v="3"/>
    <s v="Sean Smith"/>
    <s v="Pharmacy"/>
    <n v="18175"/>
    <n v="12.124749833222149"/>
    <m/>
    <m/>
  </r>
  <r>
    <x v="0"/>
    <s v="Company Z"/>
    <s v="Capsule"/>
    <s v="250 mg"/>
    <s v="50 g"/>
    <n v="1427"/>
    <s v="$1053"/>
    <x v="48"/>
    <x v="3"/>
    <s v="Laura Brown"/>
    <s v="Clinics"/>
    <n v="1053"/>
    <n v="0.73791170287316044"/>
    <m/>
    <m/>
  </r>
  <r>
    <x v="3"/>
    <s v="Company V"/>
    <s v="Syrup"/>
    <s v="500 mg"/>
    <n v="60"/>
    <n v="1044"/>
    <s v="$29042"/>
    <x v="49"/>
    <x v="4"/>
    <s v="Dr. Michael Ortiz"/>
    <s v="Hospitals"/>
    <n v="29042"/>
    <n v="27.81800766283525"/>
    <m/>
    <m/>
  </r>
  <r>
    <x v="0"/>
    <s v="Company W"/>
    <s v="Cream"/>
    <s v="10 mg"/>
    <n v="60"/>
    <n v="257"/>
    <s v="$28677"/>
    <x v="50"/>
    <x v="1"/>
    <s v="Paul Valdez"/>
    <s v="Online Pharmacy"/>
    <n v="28677"/>
    <n v="111.58365758754864"/>
    <m/>
    <m/>
  </r>
  <r>
    <x v="3"/>
    <s v="Company V"/>
    <s v="Capsule"/>
    <s v="50 mg"/>
    <n v="30"/>
    <n v="1768"/>
    <s v="$40547"/>
    <x v="13"/>
    <x v="1"/>
    <s v="Cassandra Diaz"/>
    <s v="Hospitals"/>
    <n v="40547"/>
    <n v="22.933823529411764"/>
    <m/>
    <m/>
  </r>
  <r>
    <x v="0"/>
    <s v="Company X"/>
    <s v="Syrup"/>
    <s v="250 mg"/>
    <s v="50 g"/>
    <n v="654"/>
    <s v="$16542"/>
    <x v="51"/>
    <x v="2"/>
    <s v="Matthew Richards"/>
    <s v="Hospitals"/>
    <n v="16542"/>
    <n v="25.293577981651374"/>
    <m/>
    <m/>
  </r>
  <r>
    <x v="2"/>
    <s v="Company Z"/>
    <s v="Tablet"/>
    <s v="100 mg/ml"/>
    <n v="60"/>
    <n v="1137"/>
    <s v="$33706"/>
    <x v="52"/>
    <x v="4"/>
    <s v="Travis Gonzalez"/>
    <s v="Hospitals"/>
    <n v="33706"/>
    <n v="29.644678979771328"/>
    <m/>
    <m/>
  </r>
  <r>
    <x v="1"/>
    <s v="Company X"/>
    <s v="Capsule"/>
    <s v="10 mg"/>
    <n v="30"/>
    <n v="739"/>
    <s v="$38821"/>
    <x v="50"/>
    <x v="0"/>
    <s v="Sandra Murray"/>
    <s v="Pharmacy"/>
    <n v="38821"/>
    <n v="52.531799729364003"/>
    <m/>
    <m/>
  </r>
  <r>
    <x v="3"/>
    <s v="Company X"/>
    <s v="Capsule"/>
    <s v="10 mg"/>
    <s v="100 ml"/>
    <n v="1610"/>
    <s v="$5779"/>
    <x v="53"/>
    <x v="4"/>
    <s v="Tammy Harper"/>
    <s v="Pharmacy"/>
    <n v="5779"/>
    <n v="3.5894409937888199"/>
    <m/>
    <m/>
  </r>
  <r>
    <x v="4"/>
    <s v="Company V"/>
    <s v="Syrup"/>
    <s v="500 mg"/>
    <n v="60"/>
    <n v="1703"/>
    <s v="$7678"/>
    <x v="54"/>
    <x v="1"/>
    <s v="Dwayne Johnson"/>
    <s v="Hospitals"/>
    <n v="7678"/>
    <n v="4.5085143863769819"/>
    <m/>
    <m/>
  </r>
  <r>
    <x v="0"/>
    <s v="Company Y"/>
    <s v="Cream"/>
    <s v="250 mg"/>
    <n v="60"/>
    <n v="1639"/>
    <s v="$15878"/>
    <x v="55"/>
    <x v="3"/>
    <s v="Mary Dorsey"/>
    <s v="Pharmacy"/>
    <n v="15878"/>
    <n v="9.6876143990237953"/>
    <m/>
    <m/>
  </r>
  <r>
    <x v="0"/>
    <s v="Company W"/>
    <s v="Capsule"/>
    <s v="10 mg"/>
    <s v="100 ml"/>
    <n v="1219"/>
    <s v="$48415"/>
    <x v="56"/>
    <x v="0"/>
    <s v="Brian Beasley"/>
    <s v="Supermarkets"/>
    <n v="48415"/>
    <n v="39.716981132075475"/>
    <m/>
    <m/>
  </r>
  <r>
    <x v="3"/>
    <s v="Company X"/>
    <s v="Syrup"/>
    <s v="50 mg"/>
    <s v="100 ml"/>
    <n v="871"/>
    <s v="$41051"/>
    <x v="57"/>
    <x v="2"/>
    <s v="Russell Wong"/>
    <s v="Hospitals"/>
    <n v="41051"/>
    <n v="47.130884041331804"/>
    <m/>
    <m/>
  </r>
  <r>
    <x v="2"/>
    <s v="Company W"/>
    <s v="Cream"/>
    <s v="250 mg"/>
    <s v="50 g"/>
    <n v="995"/>
    <s v="$17900"/>
    <x v="58"/>
    <x v="0"/>
    <s v="Jason Levy"/>
    <s v="Online Pharmacy"/>
    <n v="17900"/>
    <n v="17.989949748743719"/>
    <m/>
    <m/>
  </r>
  <r>
    <x v="0"/>
    <s v="Company X"/>
    <s v="Injection"/>
    <s v="250 mg"/>
    <n v="30"/>
    <n v="1446"/>
    <s v="$37654"/>
    <x v="59"/>
    <x v="1"/>
    <s v="Lindsey Shepherd"/>
    <s v="Hospitals"/>
    <n v="37654"/>
    <n v="26.040110650069156"/>
    <m/>
    <m/>
  </r>
  <r>
    <x v="0"/>
    <s v="Company X"/>
    <s v="Tablet"/>
    <s v="10 mg"/>
    <n v="60"/>
    <n v="1269"/>
    <s v="$22319"/>
    <x v="60"/>
    <x v="4"/>
    <s v="Matthew Nolan"/>
    <s v="Online Pharmacy"/>
    <n v="22319"/>
    <n v="17.587864460204887"/>
    <m/>
    <m/>
  </r>
  <r>
    <x v="3"/>
    <s v="Company W"/>
    <s v="Syrup"/>
    <s v="50 mg"/>
    <s v="10 ml"/>
    <n v="1232"/>
    <s v="$19247"/>
    <x v="61"/>
    <x v="3"/>
    <s v="Stephen Schroeder"/>
    <s v="Hospitals"/>
    <n v="19247"/>
    <n v="15.622564935064934"/>
    <m/>
    <m/>
  </r>
  <r>
    <x v="3"/>
    <s v="Company X"/>
    <s v="Tablet"/>
    <s v="50 mg"/>
    <n v="30"/>
    <n v="814"/>
    <s v="$25411"/>
    <x v="62"/>
    <x v="0"/>
    <s v="Jennifer Taylor"/>
    <s v="Online Pharmacy"/>
    <n v="25411"/>
    <n v="31.217444717444717"/>
    <m/>
    <m/>
  </r>
  <r>
    <x v="0"/>
    <s v="Company V"/>
    <s v="Syrup"/>
    <s v="10 mg"/>
    <s v="100 ml"/>
    <n v="157"/>
    <s v="$3809"/>
    <x v="63"/>
    <x v="0"/>
    <s v="John Ewing"/>
    <s v="Supermarkets"/>
    <n v="3809"/>
    <n v="24.261146496815286"/>
    <m/>
    <m/>
  </r>
  <r>
    <x v="3"/>
    <s v="Company Y"/>
    <s v="Syrup"/>
    <s v="10 mg"/>
    <n v="30"/>
    <n v="272"/>
    <s v="$39524"/>
    <x v="64"/>
    <x v="0"/>
    <s v="Kimberly Blackburn"/>
    <s v="Pharmacy"/>
    <n v="39524"/>
    <n v="145.30882352941177"/>
    <m/>
    <m/>
  </r>
  <r>
    <x v="0"/>
    <s v="Company W"/>
    <s v="Cream"/>
    <s v="500 mg"/>
    <s v="50 g"/>
    <n v="1222"/>
    <s v="$19740"/>
    <x v="65"/>
    <x v="0"/>
    <s v="Michael Jones"/>
    <s v="Pharmacy"/>
    <n v="19740"/>
    <n v="16.153846153846153"/>
    <m/>
    <m/>
  </r>
  <r>
    <x v="4"/>
    <s v="Company X"/>
    <s v="Capsule"/>
    <s v="250 mg"/>
    <s v="10 ml"/>
    <n v="151"/>
    <s v="$18797"/>
    <x v="66"/>
    <x v="3"/>
    <s v="Jacob Salinas"/>
    <s v="Hospitals"/>
    <n v="18797"/>
    <n v="124.48344370860927"/>
    <m/>
    <m/>
  </r>
  <r>
    <x v="4"/>
    <s v="Company V"/>
    <s v="Capsule"/>
    <s v="500 mg"/>
    <s v="10 ml"/>
    <n v="798"/>
    <s v="$23785"/>
    <x v="67"/>
    <x v="0"/>
    <s v="Brianna Alexander"/>
    <s v="Online Pharmacy"/>
    <n v="23785"/>
    <n v="29.805764411027567"/>
    <m/>
    <m/>
  </r>
  <r>
    <x v="3"/>
    <s v="Company W"/>
    <s v="Injection"/>
    <s v="50 mg"/>
    <s v="10 ml"/>
    <n v="310"/>
    <s v="$31204"/>
    <x v="11"/>
    <x v="0"/>
    <s v="Patricia Gonzales"/>
    <s v="Online Pharmacy"/>
    <n v="31204"/>
    <n v="100.65806451612903"/>
    <m/>
    <m/>
  </r>
  <r>
    <x v="0"/>
    <s v="Company X"/>
    <s v="Tablet"/>
    <s v="50 mg"/>
    <s v="10 ml"/>
    <n v="1280"/>
    <s v="$45096"/>
    <x v="68"/>
    <x v="3"/>
    <s v="Caitlyn Juarez"/>
    <s v="Online Pharmacy"/>
    <n v="45096"/>
    <n v="35.231250000000003"/>
    <m/>
    <m/>
  </r>
  <r>
    <x v="2"/>
    <s v="Company V"/>
    <s v="Syrup"/>
    <s v="100 mg/ml"/>
    <s v="50 g"/>
    <n v="1776"/>
    <s v="$30640"/>
    <x v="69"/>
    <x v="3"/>
    <s v="Willie Horn"/>
    <s v="Pharmacy"/>
    <n v="30640"/>
    <n v="17.252252252252251"/>
    <m/>
    <m/>
  </r>
  <r>
    <x v="1"/>
    <s v="Company Y"/>
    <s v="Cream"/>
    <s v="500 mg"/>
    <n v="30"/>
    <n v="784"/>
    <s v="$25665"/>
    <x v="28"/>
    <x v="0"/>
    <s v="Tracy Bond"/>
    <s v="Hospitals"/>
    <n v="25665"/>
    <n v="32.735969387755105"/>
    <m/>
    <m/>
  </r>
  <r>
    <x v="3"/>
    <s v="Company Y"/>
    <s v="Injection"/>
    <s v="250 mg"/>
    <n v="60"/>
    <n v="1936"/>
    <s v="$40605"/>
    <x v="70"/>
    <x v="1"/>
    <s v="Mark Martin"/>
    <s v="Online Pharmacy"/>
    <n v="40605"/>
    <n v="20.97365702479339"/>
    <m/>
    <m/>
  </r>
  <r>
    <x v="4"/>
    <s v="Company V"/>
    <s v="Cream"/>
    <s v="10 mg"/>
    <s v="50 g"/>
    <n v="1675"/>
    <s v="$29315"/>
    <x v="43"/>
    <x v="1"/>
    <s v="William Wolf MD"/>
    <s v="Pharmacy"/>
    <n v="29315"/>
    <n v="17.501492537313432"/>
    <m/>
    <m/>
  </r>
  <r>
    <x v="1"/>
    <s v="Company X"/>
    <s v="Capsule"/>
    <s v="500 mg"/>
    <s v="100 ml"/>
    <n v="906"/>
    <s v="$10256"/>
    <x v="47"/>
    <x v="0"/>
    <s v="Kelsey Phillips"/>
    <s v="Online Pharmacy"/>
    <n v="10256"/>
    <n v="11.32008830022075"/>
    <m/>
    <m/>
  </r>
  <r>
    <x v="2"/>
    <s v="Company X"/>
    <s v="Cream"/>
    <s v="10 mg"/>
    <n v="60"/>
    <n v="873"/>
    <s v="$44797"/>
    <x v="71"/>
    <x v="4"/>
    <s v="Corey Weaver"/>
    <s v="Hospitals"/>
    <n v="44797"/>
    <n v="51.313860252004581"/>
    <m/>
    <m/>
  </r>
  <r>
    <x v="2"/>
    <s v="Company V"/>
    <s v="Cream"/>
    <s v="250 mg"/>
    <n v="30"/>
    <n v="1227"/>
    <s v="$37132"/>
    <x v="72"/>
    <x v="0"/>
    <s v="Brendan Garza"/>
    <s v="Pharmacy"/>
    <n v="37132"/>
    <n v="30.262428687856559"/>
    <m/>
    <m/>
  </r>
  <r>
    <x v="2"/>
    <s v="Company Y"/>
    <s v="Capsule"/>
    <s v="500 mg"/>
    <n v="30"/>
    <n v="1921"/>
    <s v="$8234"/>
    <x v="73"/>
    <x v="0"/>
    <s v="Jeanette Vasquez"/>
    <s v="Pharmacy"/>
    <n v="8234"/>
    <n v="4.2863092139510668"/>
    <m/>
    <m/>
  </r>
  <r>
    <x v="3"/>
    <s v="Company Z"/>
    <s v="Syrup"/>
    <s v="500 mg"/>
    <s v="10 ml"/>
    <n v="1907"/>
    <s v="$11906"/>
    <x v="74"/>
    <x v="2"/>
    <s v="Jeffrey Rivera"/>
    <s v="Online Pharmacy"/>
    <n v="11906"/>
    <n v="6.2433141059255375"/>
    <m/>
    <m/>
  </r>
  <r>
    <x v="4"/>
    <s v="Company Y"/>
    <s v="Cream"/>
    <s v="10 mg"/>
    <n v="60"/>
    <n v="1766"/>
    <s v="$36835"/>
    <x v="75"/>
    <x v="1"/>
    <s v="Brandy Henderson"/>
    <s v="Pharmacy"/>
    <n v="36835"/>
    <n v="20.857870894677237"/>
    <m/>
    <m/>
  </r>
  <r>
    <x v="3"/>
    <s v="Company X"/>
    <s v="Syrup"/>
    <s v="250 mg"/>
    <n v="60"/>
    <n v="793"/>
    <s v="$45468"/>
    <x v="76"/>
    <x v="1"/>
    <s v="Robert Jones"/>
    <s v="Hospitals"/>
    <n v="45468"/>
    <n v="57.336696090794455"/>
    <m/>
    <m/>
  </r>
  <r>
    <x v="3"/>
    <s v="Company W"/>
    <s v="Cream"/>
    <s v="50 mg"/>
    <s v="100 ml"/>
    <n v="1738"/>
    <s v="$22945"/>
    <x v="77"/>
    <x v="0"/>
    <s v="Jason Caldwell"/>
    <s v="Supermarkets"/>
    <n v="22945"/>
    <n v="13.201956271576524"/>
    <m/>
    <m/>
  </r>
  <r>
    <x v="2"/>
    <s v="Company Z"/>
    <s v="Tablet"/>
    <s v="250 mg"/>
    <s v="100 ml"/>
    <n v="1088"/>
    <s v="$46398"/>
    <x v="12"/>
    <x v="0"/>
    <s v="Cynthia Thomas"/>
    <s v="Online Pharmacy"/>
    <n v="46398"/>
    <n v="42.645220588235297"/>
    <m/>
    <m/>
  </r>
  <r>
    <x v="2"/>
    <s v="Company W"/>
    <s v="Injection"/>
    <s v="250 mg"/>
    <s v="100 ml"/>
    <n v="643"/>
    <s v="$1303"/>
    <x v="78"/>
    <x v="1"/>
    <s v="Alicia Lambert"/>
    <s v="Hospitals"/>
    <n v="1303"/>
    <n v="2.0264385692068427"/>
    <m/>
    <m/>
  </r>
  <r>
    <x v="4"/>
    <s v="Company X"/>
    <s v="Syrup"/>
    <s v="250 mg"/>
    <s v="10 ml"/>
    <n v="1498"/>
    <s v="$33259"/>
    <x v="79"/>
    <x v="0"/>
    <s v="Michelle Abbott"/>
    <s v="Hospitals"/>
    <n v="33259"/>
    <n v="22.202269692923899"/>
    <m/>
    <m/>
  </r>
  <r>
    <x v="1"/>
    <s v="Company V"/>
    <s v="Injection"/>
    <s v="250 mg"/>
    <n v="30"/>
    <n v="1558"/>
    <s v="$8553"/>
    <x v="80"/>
    <x v="2"/>
    <s v="Robin Roth"/>
    <s v="Hospitals"/>
    <n v="8553"/>
    <n v="5.4897304236200259"/>
    <m/>
    <m/>
  </r>
  <r>
    <x v="4"/>
    <s v="Company Y"/>
    <s v="Capsule"/>
    <s v="50 mg"/>
    <n v="30"/>
    <n v="1423"/>
    <s v="$28304"/>
    <x v="46"/>
    <x v="2"/>
    <s v="Emily Mills"/>
    <s v="Online Pharmacy"/>
    <n v="28304"/>
    <n v="19.890372452565003"/>
    <m/>
    <m/>
  </r>
  <r>
    <x v="4"/>
    <s v="Company V"/>
    <s v="Capsule"/>
    <s v="100 mg/ml"/>
    <s v="10 ml"/>
    <n v="1777"/>
    <s v="$33795"/>
    <x v="81"/>
    <x v="0"/>
    <s v="Michael Roberson"/>
    <s v="Pharmacy"/>
    <n v="33795"/>
    <n v="19.01800787844682"/>
    <m/>
    <m/>
  </r>
  <r>
    <x v="1"/>
    <s v="Company V"/>
    <s v="Tablet"/>
    <s v="250 mg"/>
    <s v="100 ml"/>
    <n v="1908"/>
    <s v="$34115"/>
    <x v="82"/>
    <x v="2"/>
    <s v="Heather Adams"/>
    <s v="Clinics"/>
    <n v="34115"/>
    <n v="17.879979035639412"/>
    <m/>
    <m/>
  </r>
  <r>
    <x v="2"/>
    <s v="Company X"/>
    <s v="Capsule"/>
    <s v="10 mg"/>
    <s v="100 ml"/>
    <n v="1291"/>
    <s v="$30051"/>
    <x v="34"/>
    <x v="3"/>
    <s v="Anna Ford"/>
    <s v="Pharmacy"/>
    <n v="30051"/>
    <n v="23.27730441518203"/>
    <m/>
    <m/>
  </r>
  <r>
    <x v="3"/>
    <s v="Company V"/>
    <s v="Tablet"/>
    <s v="50 mg"/>
    <s v="10 ml"/>
    <n v="1702"/>
    <s v="$29950"/>
    <x v="4"/>
    <x v="0"/>
    <s v="Brian Greer"/>
    <s v="Pharmacy"/>
    <n v="29950"/>
    <n v="17.596944770857814"/>
    <m/>
    <m/>
  </r>
  <r>
    <x v="1"/>
    <s v="Company Z"/>
    <s v="Injection"/>
    <s v="500 mg"/>
    <n v="60"/>
    <n v="1367"/>
    <s v="$30714"/>
    <x v="83"/>
    <x v="1"/>
    <s v="Joshua Gomez"/>
    <s v="Pharmacy"/>
    <n v="30714"/>
    <n v="22.468178493050477"/>
    <m/>
    <m/>
  </r>
  <r>
    <x v="4"/>
    <s v="Company V"/>
    <s v="Tablet"/>
    <s v="100 mg/ml"/>
    <n v="30"/>
    <n v="1583"/>
    <s v="$45689"/>
    <x v="84"/>
    <x v="2"/>
    <s v="Michael Orr"/>
    <s v="Supermarkets"/>
    <n v="45689"/>
    <n v="28.862286797220467"/>
    <m/>
    <m/>
  </r>
  <r>
    <x v="1"/>
    <s v="Company V"/>
    <s v="Capsule"/>
    <s v="500 mg"/>
    <s v="100 ml"/>
    <n v="848"/>
    <s v="$35016"/>
    <x v="20"/>
    <x v="0"/>
    <s v="Elizabeth Powell"/>
    <s v="Supermarkets"/>
    <n v="35016"/>
    <n v="41.29245283018868"/>
    <m/>
    <m/>
  </r>
  <r>
    <x v="0"/>
    <s v="Company Y"/>
    <s v="Syrup"/>
    <s v="10 mg"/>
    <s v="100 ml"/>
    <n v="1886"/>
    <s v="$11515"/>
    <x v="85"/>
    <x v="4"/>
    <s v="Steven Decker"/>
    <s v="Supermarkets"/>
    <n v="11515"/>
    <n v="6.1055143160127257"/>
    <m/>
    <m/>
  </r>
  <r>
    <x v="4"/>
    <s v="Company V"/>
    <s v="Tablet"/>
    <s v="250 mg"/>
    <s v="50 g"/>
    <n v="1391"/>
    <s v="$49897"/>
    <x v="86"/>
    <x v="0"/>
    <s v="Lisa Friedman"/>
    <s v="Supermarkets"/>
    <n v="49897"/>
    <n v="35.871315600287566"/>
    <m/>
    <m/>
  </r>
  <r>
    <x v="2"/>
    <s v="Company Z"/>
    <s v="Injection"/>
    <s v="250 mg"/>
    <n v="60"/>
    <n v="536"/>
    <s v="$12572"/>
    <x v="87"/>
    <x v="1"/>
    <s v="Jeremy Brandt"/>
    <s v="Online Pharmacy"/>
    <n v="12572"/>
    <n v="23.455223880597014"/>
    <m/>
    <m/>
  </r>
  <r>
    <x v="0"/>
    <s v="Company Z"/>
    <s v="Injection"/>
    <s v="500 mg"/>
    <n v="60"/>
    <n v="1999"/>
    <s v="$40809"/>
    <x v="88"/>
    <x v="0"/>
    <s v="Cheryl Campbell"/>
    <s v="Pharmacy"/>
    <n v="40809"/>
    <n v="20.414707353676839"/>
    <m/>
    <m/>
  </r>
  <r>
    <x v="4"/>
    <s v="Company Z"/>
    <s v="Tablet"/>
    <s v="250 mg"/>
    <s v="10 ml"/>
    <n v="1192"/>
    <s v="$39757"/>
    <x v="89"/>
    <x v="1"/>
    <s v="Emily Turner"/>
    <s v="Clinics"/>
    <n v="39757"/>
    <n v="33.353187919463089"/>
    <m/>
    <m/>
  </r>
  <r>
    <x v="4"/>
    <s v="Company W"/>
    <s v="Cream"/>
    <s v="250 mg"/>
    <s v="50 g"/>
    <n v="846"/>
    <s v="$2237"/>
    <x v="90"/>
    <x v="4"/>
    <s v="Cheryl Morris"/>
    <s v="Pharmacy"/>
    <n v="2237"/>
    <n v="2.644208037825059"/>
    <m/>
    <m/>
  </r>
  <r>
    <x v="3"/>
    <s v="Company X"/>
    <s v="Injection"/>
    <s v="500 mg"/>
    <s v="10 ml"/>
    <n v="731"/>
    <s v="$35093"/>
    <x v="91"/>
    <x v="1"/>
    <s v="Richard Mendoza"/>
    <s v="Pharmacy"/>
    <n v="35093"/>
    <n v="48.00683994528044"/>
    <m/>
    <m/>
  </r>
  <r>
    <x v="3"/>
    <s v="Company W"/>
    <s v="Tablet"/>
    <s v="100 mg/ml"/>
    <n v="30"/>
    <n v="1943"/>
    <s v="$44592"/>
    <x v="92"/>
    <x v="2"/>
    <s v="Isabel Whitaker"/>
    <s v="Pharmacy"/>
    <n v="44592"/>
    <n v="22.950077200205868"/>
    <m/>
    <m/>
  </r>
  <r>
    <x v="3"/>
    <s v="Company Y"/>
    <s v="Capsule"/>
    <s v="100 mg/ml"/>
    <n v="60"/>
    <n v="1017"/>
    <s v="$29700"/>
    <x v="93"/>
    <x v="2"/>
    <s v="Darryl Nicholson"/>
    <s v="Hospitals"/>
    <n v="29700"/>
    <n v="29.20353982300885"/>
    <m/>
    <m/>
  </r>
  <r>
    <x v="3"/>
    <s v="Company X"/>
    <s v="Cream"/>
    <s v="500 mg"/>
    <s v="10 ml"/>
    <n v="929"/>
    <s v="$37018"/>
    <x v="94"/>
    <x v="4"/>
    <s v="Patricia Mclean"/>
    <s v="Clinics"/>
    <n v="37018"/>
    <n v="39.847147470398276"/>
    <m/>
    <m/>
  </r>
  <r>
    <x v="4"/>
    <s v="Company Z"/>
    <s v="Capsule"/>
    <s v="10 mg"/>
    <n v="60"/>
    <n v="811"/>
    <s v="$44885"/>
    <x v="60"/>
    <x v="0"/>
    <s v="Raymond Scott"/>
    <s v="Online Pharmacy"/>
    <n v="44885"/>
    <n v="55.345252774352652"/>
    <m/>
    <m/>
  </r>
  <r>
    <x v="1"/>
    <s v="Company Y"/>
    <s v="Syrup"/>
    <s v="500 mg"/>
    <n v="60"/>
    <n v="820"/>
    <s v="$14086"/>
    <x v="95"/>
    <x v="1"/>
    <s v="Cindy Diaz"/>
    <s v="Online Pharmacy"/>
    <n v="14086"/>
    <n v="17.178048780487806"/>
    <m/>
    <m/>
  </r>
  <r>
    <x v="3"/>
    <s v="Company X"/>
    <s v="Syrup"/>
    <s v="100 mg/ml"/>
    <n v="60"/>
    <n v="698"/>
    <s v="$27380"/>
    <x v="96"/>
    <x v="1"/>
    <s v="Timothy Bradley"/>
    <s v="Online Pharmacy"/>
    <n v="27380"/>
    <n v="39.226361031518621"/>
    <m/>
    <m/>
  </r>
  <r>
    <x v="2"/>
    <s v="Company Y"/>
    <s v="Capsule"/>
    <s v="250 mg"/>
    <s v="10 ml"/>
    <n v="679"/>
    <s v="$35477"/>
    <x v="97"/>
    <x v="0"/>
    <s v="Chad Lewis"/>
    <s v="Supermarkets"/>
    <n v="35477"/>
    <n v="52.248895434462447"/>
    <m/>
    <m/>
  </r>
  <r>
    <x v="2"/>
    <s v="Company V"/>
    <s v="Capsule"/>
    <s v="10 mg"/>
    <s v="50 g"/>
    <n v="1225"/>
    <s v="$47265"/>
    <x v="98"/>
    <x v="0"/>
    <s v="Ashley White"/>
    <s v="Pharmacy"/>
    <n v="47265"/>
    <n v="38.583673469387755"/>
    <m/>
    <m/>
  </r>
  <r>
    <x v="0"/>
    <s v="Company W"/>
    <s v="Syrup"/>
    <s v="250 mg"/>
    <n v="60"/>
    <n v="1913"/>
    <s v="$37244"/>
    <x v="99"/>
    <x v="1"/>
    <s v="Emily Scott"/>
    <s v="Hospitals"/>
    <n v="37244"/>
    <n v="19.468897020386827"/>
    <m/>
    <m/>
  </r>
  <r>
    <x v="0"/>
    <s v="Company W"/>
    <s v="Tablet"/>
    <s v="100 mg/ml"/>
    <s v="10 ml"/>
    <n v="1381"/>
    <s v="$43046"/>
    <x v="100"/>
    <x v="3"/>
    <s v="Kelly Berry"/>
    <s v="Online Pharmacy"/>
    <n v="43046"/>
    <n v="31.170166545981171"/>
    <m/>
    <m/>
  </r>
  <r>
    <x v="3"/>
    <s v="Company W"/>
    <s v="Injection"/>
    <s v="100 mg/ml"/>
    <s v="50 g"/>
    <n v="939"/>
    <s v="$37589"/>
    <x v="101"/>
    <x v="2"/>
    <s v="Michael Miller"/>
    <s v="Supermarkets"/>
    <n v="37589"/>
    <n v="40.030883919062831"/>
    <m/>
    <m/>
  </r>
  <r>
    <x v="0"/>
    <s v="Company Z"/>
    <s v="Injection"/>
    <s v="10 mg"/>
    <s v="10 ml"/>
    <n v="472"/>
    <s v="$7516"/>
    <x v="102"/>
    <x v="0"/>
    <s v="Brian Coleman"/>
    <s v="Online Pharmacy"/>
    <n v="7516"/>
    <n v="15.923728813559322"/>
    <m/>
    <m/>
  </r>
  <r>
    <x v="2"/>
    <s v="Company Y"/>
    <s v="Syrup"/>
    <s v="100 mg/ml"/>
    <s v="100 ml"/>
    <n v="405"/>
    <s v="$19413"/>
    <x v="103"/>
    <x v="2"/>
    <s v="James Sexton"/>
    <s v="Online Pharmacy"/>
    <n v="19413"/>
    <n v="47.93333333333333"/>
    <m/>
    <m/>
  </r>
  <r>
    <x v="1"/>
    <s v="Company Z"/>
    <s v="Cream"/>
    <s v="50 mg"/>
    <s v="10 ml"/>
    <n v="383"/>
    <s v="$9225"/>
    <x v="104"/>
    <x v="4"/>
    <s v="Mitchell Butler"/>
    <s v="Online Pharmacy"/>
    <n v="9225"/>
    <n v="24.08616187989556"/>
    <m/>
    <m/>
  </r>
  <r>
    <x v="2"/>
    <s v="Company Z"/>
    <s v="Syrup"/>
    <s v="100 mg/ml"/>
    <s v="10 ml"/>
    <n v="1863"/>
    <s v="$35677"/>
    <x v="105"/>
    <x v="0"/>
    <s v="Jeremy Mcdaniel"/>
    <s v="Hospitals"/>
    <n v="35677"/>
    <n v="19.150295222758992"/>
    <m/>
    <m/>
  </r>
  <r>
    <x v="1"/>
    <s v="Company V"/>
    <s v="Syrup"/>
    <s v="10 mg"/>
    <s v="100 ml"/>
    <n v="469"/>
    <s v="$9657"/>
    <x v="3"/>
    <x v="0"/>
    <s v="Heidi Joseph"/>
    <s v="Clinics"/>
    <n v="9657"/>
    <n v="20.590618336886994"/>
    <m/>
    <m/>
  </r>
  <r>
    <x v="3"/>
    <s v="Company Y"/>
    <s v="Injection"/>
    <s v="50 mg"/>
    <s v="50 g"/>
    <n v="1296"/>
    <s v="$14169"/>
    <x v="106"/>
    <x v="3"/>
    <s v="Caitlyn Smith"/>
    <s v="Hospitals"/>
    <n v="14169"/>
    <n v="10.93287037037037"/>
    <m/>
    <m/>
  </r>
  <r>
    <x v="4"/>
    <s v="Company V"/>
    <s v="Tablet"/>
    <s v="250 mg"/>
    <n v="60"/>
    <n v="1350"/>
    <s v="$24407"/>
    <x v="107"/>
    <x v="0"/>
    <s v="Robert Brown"/>
    <s v="Hospitals"/>
    <n v="24407"/>
    <n v="18.07925925925926"/>
    <m/>
    <m/>
  </r>
  <r>
    <x v="0"/>
    <s v="Company V"/>
    <s v="Tablet"/>
    <s v="10 mg"/>
    <s v="50 g"/>
    <n v="930"/>
    <s v="$3721"/>
    <x v="81"/>
    <x v="3"/>
    <s v="Catherine Porter"/>
    <s v="Online Pharmacy"/>
    <n v="3721"/>
    <n v="4.0010752688172042"/>
    <m/>
    <m/>
  </r>
  <r>
    <x v="2"/>
    <s v="Company V"/>
    <s v="Capsule"/>
    <s v="10 mg"/>
    <s v="10 ml"/>
    <n v="1185"/>
    <s v="$43131"/>
    <x v="108"/>
    <x v="2"/>
    <s v="Angela Pierce"/>
    <s v="Clinics"/>
    <n v="43131"/>
    <n v="36.39746835443038"/>
    <m/>
    <m/>
  </r>
  <r>
    <x v="1"/>
    <s v="Company V"/>
    <s v="Capsule"/>
    <s v="50 mg"/>
    <n v="60"/>
    <n v="179"/>
    <s v="$37526"/>
    <x v="109"/>
    <x v="0"/>
    <s v="Jason Taylor"/>
    <s v="Supermarkets"/>
    <n v="37526"/>
    <n v="209.64245810055866"/>
    <m/>
    <m/>
  </r>
  <r>
    <x v="0"/>
    <s v="Company Y"/>
    <s v="Injection"/>
    <s v="10 mg"/>
    <n v="30"/>
    <n v="1859"/>
    <s v="$27781"/>
    <x v="110"/>
    <x v="0"/>
    <s v="Stephen Rodriguez"/>
    <s v="Pharmacy"/>
    <n v="27781"/>
    <n v="14.944055944055943"/>
    <m/>
    <m/>
  </r>
  <r>
    <x v="4"/>
    <s v="Company V"/>
    <s v="Capsule"/>
    <s v="50 mg"/>
    <n v="60"/>
    <n v="1089"/>
    <s v="$6993"/>
    <x v="111"/>
    <x v="1"/>
    <s v="Lisa Gross"/>
    <s v="Online Pharmacy"/>
    <n v="6993"/>
    <n v="6.4214876033057848"/>
    <m/>
    <m/>
  </r>
  <r>
    <x v="3"/>
    <s v="Company Y"/>
    <s v="Tablet"/>
    <s v="10 mg"/>
    <s v="10 ml"/>
    <n v="1428"/>
    <s v="$38657"/>
    <x v="112"/>
    <x v="1"/>
    <s v="Wyatt Norris"/>
    <s v="Online Pharmacy"/>
    <n v="38657"/>
    <n v="27.070728291316527"/>
    <m/>
    <m/>
  </r>
  <r>
    <x v="3"/>
    <s v="Company X"/>
    <s v="Syrup"/>
    <s v="500 mg"/>
    <s v="10 ml"/>
    <n v="431"/>
    <s v="$42644"/>
    <x v="81"/>
    <x v="1"/>
    <s v="Victoria Maldonado"/>
    <s v="Supermarkets"/>
    <n v="42644"/>
    <n v="98.941995359628777"/>
    <m/>
    <m/>
  </r>
  <r>
    <x v="0"/>
    <s v="Company Z"/>
    <s v="Capsule"/>
    <s v="50 mg"/>
    <s v="50 g"/>
    <n v="1670"/>
    <s v="$44138"/>
    <x v="113"/>
    <x v="1"/>
    <s v="Stacey Jordan"/>
    <s v="Hospitals"/>
    <n v="44138"/>
    <n v="26.429940119760477"/>
    <m/>
    <m/>
  </r>
  <r>
    <x v="4"/>
    <s v="Company Y"/>
    <s v="Tablet"/>
    <s v="100 mg/ml"/>
    <s v="100 ml"/>
    <n v="206"/>
    <s v="$5211"/>
    <x v="28"/>
    <x v="4"/>
    <s v="Isabella Alvarado"/>
    <s v="Hospitals"/>
    <n v="5211"/>
    <n v="25.296116504854368"/>
    <m/>
    <m/>
  </r>
  <r>
    <x v="3"/>
    <s v="Company X"/>
    <s v="Cream"/>
    <s v="100 mg/ml"/>
    <s v="100 ml"/>
    <n v="1499"/>
    <s v="$42504"/>
    <x v="114"/>
    <x v="0"/>
    <s v="Anna Griffin"/>
    <s v="Pharmacy"/>
    <n v="42504"/>
    <n v="28.354903268845899"/>
    <m/>
    <m/>
  </r>
  <r>
    <x v="0"/>
    <s v="Company X"/>
    <s v="Cream"/>
    <s v="500 mg"/>
    <n v="60"/>
    <n v="1503"/>
    <s v="$24284"/>
    <x v="69"/>
    <x v="4"/>
    <s v="Jason Sanders"/>
    <s v="Online Pharmacy"/>
    <n v="24284"/>
    <n v="16.157019294743847"/>
    <m/>
    <m/>
  </r>
  <r>
    <x v="3"/>
    <s v="Company Z"/>
    <s v="Syrup"/>
    <s v="250 mg"/>
    <n v="60"/>
    <n v="1473"/>
    <s v="$49653"/>
    <x v="71"/>
    <x v="4"/>
    <s v="Kevin Sanford"/>
    <s v="Online Pharmacy"/>
    <n v="49653"/>
    <n v="33.708757637474541"/>
    <m/>
    <m/>
  </r>
  <r>
    <x v="4"/>
    <s v="Company V"/>
    <s v="Capsule"/>
    <s v="100 mg/ml"/>
    <s v="10 ml"/>
    <n v="1294"/>
    <s v="$14645"/>
    <x v="2"/>
    <x v="0"/>
    <s v="Corey Miller"/>
    <s v="Pharmacy"/>
    <n v="14645"/>
    <n v="11.317619783616692"/>
    <m/>
    <m/>
  </r>
  <r>
    <x v="1"/>
    <s v="Company Y"/>
    <s v="Syrup"/>
    <s v="500 mg"/>
    <s v="100 ml"/>
    <n v="1337"/>
    <s v="$21269"/>
    <x v="115"/>
    <x v="3"/>
    <s v="Ronald Caldwell"/>
    <s v="Clinics"/>
    <n v="21269"/>
    <n v="15.908002991772625"/>
    <m/>
    <m/>
  </r>
  <r>
    <x v="0"/>
    <s v="Company X"/>
    <s v="Tablet"/>
    <s v="100 mg/ml"/>
    <s v="50 g"/>
    <n v="580"/>
    <s v="$15529"/>
    <x v="116"/>
    <x v="0"/>
    <s v="Andre Castillo"/>
    <s v="Hospitals"/>
    <n v="15529"/>
    <n v="26.774137931034481"/>
    <m/>
    <m/>
  </r>
  <r>
    <x v="4"/>
    <s v="Company V"/>
    <s v="Tablet"/>
    <s v="500 mg"/>
    <n v="60"/>
    <n v="1872"/>
    <s v="$30435"/>
    <x v="117"/>
    <x v="1"/>
    <s v="Jessica Nelson"/>
    <s v="Pharmacy"/>
    <n v="30435"/>
    <n v="16.258012820512821"/>
    <m/>
    <m/>
  </r>
  <r>
    <x v="3"/>
    <s v="Company W"/>
    <s v="Capsule"/>
    <s v="500 mg"/>
    <s v="10 ml"/>
    <n v="532"/>
    <s v="$28042"/>
    <x v="118"/>
    <x v="0"/>
    <s v="Darin Smith"/>
    <s v="Clinics"/>
    <n v="28042"/>
    <n v="52.710526315789473"/>
    <m/>
    <m/>
  </r>
  <r>
    <x v="3"/>
    <s v="Company Z"/>
    <s v="Tablet"/>
    <s v="100 mg/ml"/>
    <s v="100 ml"/>
    <n v="181"/>
    <s v="$32650"/>
    <x v="9"/>
    <x v="4"/>
    <s v="Carmen Bailey"/>
    <s v="Supermarkets"/>
    <n v="32650"/>
    <n v="180.38674033149172"/>
    <m/>
    <m/>
  </r>
  <r>
    <x v="0"/>
    <s v="Company V"/>
    <s v="Capsule"/>
    <s v="500 mg"/>
    <s v="10 ml"/>
    <n v="422"/>
    <s v="$32388"/>
    <x v="101"/>
    <x v="3"/>
    <s v="Kristopher Martinez"/>
    <s v="Online Pharmacy"/>
    <n v="32388"/>
    <n v="76.748815165876778"/>
    <m/>
    <m/>
  </r>
  <r>
    <x v="4"/>
    <s v="Company V"/>
    <s v="Cream"/>
    <s v="500 mg"/>
    <s v="100 ml"/>
    <n v="892"/>
    <s v="$9396"/>
    <x v="119"/>
    <x v="0"/>
    <s v="Joseph Brewer"/>
    <s v="Clinics"/>
    <n v="9396"/>
    <n v="10.533632286995516"/>
    <m/>
    <m/>
  </r>
  <r>
    <x v="3"/>
    <s v="Company X"/>
    <s v="Cream"/>
    <s v="250 mg"/>
    <n v="30"/>
    <n v="1964"/>
    <s v="$11786"/>
    <x v="44"/>
    <x v="2"/>
    <s v="Michael Guzman"/>
    <s v="Supermarkets"/>
    <n v="11786"/>
    <n v="6.0010183299389004"/>
    <m/>
    <m/>
  </r>
  <r>
    <x v="2"/>
    <s v="Company Z"/>
    <s v="Tablet"/>
    <s v="250 mg"/>
    <n v="30"/>
    <n v="1698"/>
    <s v="$19170"/>
    <x v="73"/>
    <x v="3"/>
    <s v="Theresa Hansen"/>
    <s v="Pharmacy"/>
    <n v="19170"/>
    <n v="11.289752650176679"/>
    <m/>
    <m/>
  </r>
  <r>
    <x v="0"/>
    <s v="Company X"/>
    <s v="Cream"/>
    <s v="500 mg"/>
    <n v="60"/>
    <n v="1222"/>
    <s v="$28574"/>
    <x v="120"/>
    <x v="4"/>
    <s v="Daniel Murillo"/>
    <s v="Clinics"/>
    <n v="28574"/>
    <n v="23.382978723404257"/>
    <m/>
    <m/>
  </r>
  <r>
    <x v="0"/>
    <s v="Company V"/>
    <s v="Syrup"/>
    <s v="50 mg"/>
    <s v="10 ml"/>
    <n v="604"/>
    <s v="$38185"/>
    <x v="113"/>
    <x v="0"/>
    <s v="Jake Cook"/>
    <s v="Supermarkets"/>
    <n v="38185"/>
    <n v="63.22019867549669"/>
    <m/>
    <m/>
  </r>
  <r>
    <x v="1"/>
    <s v="Company Z"/>
    <s v="Cream"/>
    <s v="250 mg"/>
    <s v="50 g"/>
    <n v="1811"/>
    <s v="$42397"/>
    <x v="1"/>
    <x v="2"/>
    <s v="Gary Grant"/>
    <s v="Online Pharmacy"/>
    <n v="42397"/>
    <n v="23.410822749861953"/>
    <m/>
    <m/>
  </r>
  <r>
    <x v="2"/>
    <s v="Company Y"/>
    <s v="Injection"/>
    <s v="250 mg"/>
    <n v="60"/>
    <n v="560"/>
    <s v="$42407"/>
    <x v="121"/>
    <x v="3"/>
    <s v="Don Brown"/>
    <s v="Pharmacy"/>
    <n v="42407"/>
    <n v="75.726785714285711"/>
    <m/>
    <m/>
  </r>
  <r>
    <x v="2"/>
    <s v="Company X"/>
    <s v="Tablet"/>
    <s v="250 mg"/>
    <s v="10 ml"/>
    <n v="862"/>
    <s v="$49311"/>
    <x v="122"/>
    <x v="3"/>
    <s v="Shelby Johnson"/>
    <s v="Online Pharmacy"/>
    <n v="49311"/>
    <n v="57.205336426914151"/>
    <m/>
    <m/>
  </r>
  <r>
    <x v="1"/>
    <s v="Company Z"/>
    <s v="Tablet"/>
    <s v="500 mg"/>
    <s v="50 g"/>
    <n v="1017"/>
    <s v="$21123"/>
    <x v="123"/>
    <x v="1"/>
    <s v="Virginia Phillips"/>
    <s v="Clinics"/>
    <n v="21123"/>
    <n v="20.76991150442478"/>
    <m/>
    <m/>
  </r>
  <r>
    <x v="2"/>
    <s v="Company W"/>
    <s v="Cream"/>
    <s v="250 mg"/>
    <n v="30"/>
    <n v="1468"/>
    <s v="$32204"/>
    <x v="124"/>
    <x v="0"/>
    <s v="Melissa Kennedy"/>
    <s v="Online Pharmacy"/>
    <n v="32204"/>
    <n v="21.937329700272478"/>
    <m/>
    <m/>
  </r>
  <r>
    <x v="1"/>
    <s v="Company W"/>
    <s v="Syrup"/>
    <s v="10 mg"/>
    <n v="30"/>
    <n v="1647"/>
    <s v="$21201"/>
    <x v="58"/>
    <x v="4"/>
    <s v="Patricia Norris"/>
    <s v="Clinics"/>
    <n v="21201"/>
    <n v="12.872495446265939"/>
    <m/>
    <m/>
  </r>
  <r>
    <x v="3"/>
    <s v="Company V"/>
    <s v="Tablet"/>
    <s v="250 mg"/>
    <n v="30"/>
    <n v="254"/>
    <s v="$43256"/>
    <x v="125"/>
    <x v="1"/>
    <s v="Taylor Barnes"/>
    <s v="Pharmacy"/>
    <n v="43256"/>
    <n v="170.29921259842519"/>
    <m/>
    <m/>
  </r>
  <r>
    <x v="4"/>
    <s v="Company Z"/>
    <s v="Syrup"/>
    <s v="50 mg"/>
    <s v="10 ml"/>
    <n v="1661"/>
    <s v="$8678"/>
    <x v="126"/>
    <x v="1"/>
    <s v="Christina Montoya"/>
    <s v="Clinics"/>
    <n v="8678"/>
    <n v="5.2245635159542445"/>
    <m/>
    <m/>
  </r>
  <r>
    <x v="0"/>
    <s v="Company Y"/>
    <s v="Syrup"/>
    <s v="10 mg"/>
    <s v="100 ml"/>
    <n v="1446"/>
    <s v="$49381"/>
    <x v="88"/>
    <x v="2"/>
    <s v="Brittney Gonzales"/>
    <s v="Supermarkets"/>
    <n v="49381"/>
    <n v="34.15006915629322"/>
    <m/>
    <m/>
  </r>
  <r>
    <x v="4"/>
    <s v="Company V"/>
    <s v="Syrup"/>
    <s v="10 mg"/>
    <s v="100 ml"/>
    <n v="936"/>
    <s v="$48645"/>
    <x v="73"/>
    <x v="2"/>
    <s v="Stephanie Williams"/>
    <s v="Supermarkets"/>
    <n v="48645"/>
    <n v="51.971153846153847"/>
    <m/>
    <m/>
  </r>
  <r>
    <x v="0"/>
    <s v="Company W"/>
    <s v="Injection"/>
    <s v="500 mg"/>
    <n v="30"/>
    <n v="1623"/>
    <s v="$21818"/>
    <x v="121"/>
    <x v="0"/>
    <s v="Hayden Rodriguez"/>
    <s v="Pharmacy"/>
    <n v="21818"/>
    <n v="13.443006777572396"/>
    <m/>
    <m/>
  </r>
  <r>
    <x v="3"/>
    <s v="Company V"/>
    <s v="Cream"/>
    <s v="50 mg"/>
    <n v="30"/>
    <n v="1318"/>
    <s v="$7513"/>
    <x v="67"/>
    <x v="0"/>
    <s v="Susan Mccoy"/>
    <s v="Supermarkets"/>
    <n v="7513"/>
    <n v="5.7003034901365703"/>
    <m/>
    <m/>
  </r>
  <r>
    <x v="2"/>
    <s v="Company V"/>
    <s v="Injection"/>
    <s v="100 mg/ml"/>
    <n v="30"/>
    <n v="123"/>
    <s v="$4294"/>
    <x v="110"/>
    <x v="2"/>
    <s v="Keith Payne"/>
    <s v="Hospitals"/>
    <n v="4294"/>
    <n v="34.91056910569106"/>
    <m/>
    <m/>
  </r>
  <r>
    <x v="4"/>
    <s v="Company Y"/>
    <s v="Tablet"/>
    <s v="50 mg"/>
    <n v="30"/>
    <n v="1466"/>
    <s v="$24941"/>
    <x v="27"/>
    <x v="1"/>
    <s v="John Lindsey"/>
    <s v="Supermarkets"/>
    <n v="24941"/>
    <n v="17.012960436562075"/>
    <m/>
    <m/>
  </r>
  <r>
    <x v="4"/>
    <s v="Company Z"/>
    <s v="Cream"/>
    <s v="50 mg"/>
    <n v="60"/>
    <n v="390"/>
    <s v="$46339"/>
    <x v="127"/>
    <x v="1"/>
    <s v="Hannah Long"/>
    <s v="Clinics"/>
    <n v="46339"/>
    <n v="118.81794871794872"/>
    <m/>
    <m/>
  </r>
  <r>
    <x v="2"/>
    <s v="Company V"/>
    <s v="Syrup"/>
    <s v="250 mg"/>
    <s v="50 g"/>
    <n v="1586"/>
    <s v="$9800"/>
    <x v="107"/>
    <x v="2"/>
    <s v="Kevin Gates"/>
    <s v="Supermarkets"/>
    <n v="9800"/>
    <n v="6.1790668348045399"/>
    <m/>
    <m/>
  </r>
  <r>
    <x v="4"/>
    <s v="Company Y"/>
    <s v="Syrup"/>
    <s v="500 mg"/>
    <s v="10 ml"/>
    <n v="739"/>
    <s v="$48204"/>
    <x v="102"/>
    <x v="4"/>
    <s v="Ricky Garner"/>
    <s v="Pharmacy"/>
    <n v="48204"/>
    <n v="65.228687415426251"/>
    <m/>
    <m/>
  </r>
  <r>
    <x v="2"/>
    <s v="Company Y"/>
    <s v="Capsule"/>
    <s v="10 mg"/>
    <s v="10 ml"/>
    <n v="1267"/>
    <s v="$19752"/>
    <x v="128"/>
    <x v="3"/>
    <s v="Elizabeth Lopez"/>
    <s v="Online Pharmacy"/>
    <n v="19752"/>
    <n v="15.589581689029202"/>
    <m/>
    <m/>
  </r>
  <r>
    <x v="2"/>
    <s v="Company V"/>
    <s v="Tablet"/>
    <s v="250 mg"/>
    <n v="30"/>
    <n v="1834"/>
    <s v="$37074"/>
    <x v="129"/>
    <x v="2"/>
    <s v="Gary Valencia"/>
    <s v="Online Pharmacy"/>
    <n v="37074"/>
    <n v="20.214830970556161"/>
    <m/>
    <m/>
  </r>
  <r>
    <x v="3"/>
    <s v="Company Y"/>
    <s v="Cream"/>
    <s v="250 mg"/>
    <s v="10 ml"/>
    <n v="667"/>
    <s v="$7794"/>
    <x v="130"/>
    <x v="1"/>
    <s v="Emily Brown"/>
    <s v="Hospitals"/>
    <n v="7794"/>
    <n v="11.685157421289356"/>
    <m/>
    <m/>
  </r>
  <r>
    <x v="4"/>
    <s v="Company Z"/>
    <s v="Injection"/>
    <s v="10 mg"/>
    <n v="60"/>
    <n v="1360"/>
    <s v="$33904"/>
    <x v="131"/>
    <x v="1"/>
    <s v="Richard Stewart"/>
    <s v="Pharmacy"/>
    <n v="33904"/>
    <n v="24.929411764705883"/>
    <m/>
    <m/>
  </r>
  <r>
    <x v="1"/>
    <s v="Company X"/>
    <s v="Tablet"/>
    <s v="50 mg"/>
    <n v="60"/>
    <n v="1124"/>
    <s v="$15758"/>
    <x v="132"/>
    <x v="4"/>
    <s v="Aaron Cline"/>
    <s v="Pharmacy"/>
    <n v="15758"/>
    <n v="14.019572953736654"/>
    <m/>
    <m/>
  </r>
  <r>
    <x v="1"/>
    <s v="Company W"/>
    <s v="Tablet"/>
    <s v="250 mg"/>
    <n v="60"/>
    <n v="236"/>
    <s v="$46906"/>
    <x v="133"/>
    <x v="3"/>
    <s v="Joshua Phillips"/>
    <s v="Hospitals"/>
    <n v="46906"/>
    <n v="198.75423728813558"/>
    <m/>
    <m/>
  </r>
  <r>
    <x v="2"/>
    <s v="Company X"/>
    <s v="Tablet"/>
    <s v="50 mg"/>
    <n v="60"/>
    <n v="1134"/>
    <s v="$13081"/>
    <x v="75"/>
    <x v="1"/>
    <s v="Tammy Wolfe"/>
    <s v="Clinics"/>
    <n v="13081"/>
    <n v="11.535273368606703"/>
    <m/>
    <m/>
  </r>
  <r>
    <x v="2"/>
    <s v="Company Z"/>
    <s v="Injection"/>
    <s v="250 mg"/>
    <s v="100 ml"/>
    <n v="1262"/>
    <s v="$23680"/>
    <x v="118"/>
    <x v="1"/>
    <s v="Catherine Henry"/>
    <s v="Supermarkets"/>
    <n v="23680"/>
    <n v="18.763866877971473"/>
    <m/>
    <m/>
  </r>
  <r>
    <x v="0"/>
    <s v="Company Z"/>
    <s v="Capsule"/>
    <s v="100 mg/ml"/>
    <s v="10 ml"/>
    <n v="153"/>
    <s v="$19965"/>
    <x v="134"/>
    <x v="4"/>
    <s v="Tiffany Lane"/>
    <s v="Pharmacy"/>
    <n v="19965"/>
    <n v="130.49019607843138"/>
    <m/>
    <m/>
  </r>
  <r>
    <x v="3"/>
    <s v="Company W"/>
    <s v="Injection"/>
    <s v="500 mg"/>
    <s v="50 g"/>
    <n v="1159"/>
    <s v="$49694"/>
    <x v="135"/>
    <x v="0"/>
    <s v="Jodi Lowe"/>
    <s v="Supermarkets"/>
    <n v="49694"/>
    <n v="42.876617773943053"/>
    <m/>
    <m/>
  </r>
  <r>
    <x v="1"/>
    <s v="Company Z"/>
    <s v="Injection"/>
    <s v="500 mg"/>
    <n v="30"/>
    <n v="575"/>
    <s v="$42355"/>
    <x v="136"/>
    <x v="0"/>
    <s v="James Elliott"/>
    <s v="Pharmacy"/>
    <n v="42355"/>
    <n v="73.660869565217396"/>
    <m/>
    <m/>
  </r>
  <r>
    <x v="3"/>
    <s v="Company X"/>
    <s v="Capsule"/>
    <s v="250 mg"/>
    <n v="60"/>
    <n v="189"/>
    <s v="$45637"/>
    <x v="137"/>
    <x v="1"/>
    <s v="Cody Williams"/>
    <s v="Pharmacy"/>
    <n v="45637"/>
    <n v="241.46560846560845"/>
    <m/>
    <m/>
  </r>
  <r>
    <x v="1"/>
    <s v="Company W"/>
    <s v="Capsule"/>
    <s v="250 mg"/>
    <n v="60"/>
    <n v="1132"/>
    <s v="$46407"/>
    <x v="17"/>
    <x v="3"/>
    <s v="Brian Sanchez"/>
    <s v="Clinics"/>
    <n v="46407"/>
    <n v="40.995583038869256"/>
    <m/>
    <m/>
  </r>
  <r>
    <x v="2"/>
    <s v="Company X"/>
    <s v="Injection"/>
    <s v="100 mg/ml"/>
    <s v="100 ml"/>
    <n v="411"/>
    <s v="$37320"/>
    <x v="92"/>
    <x v="4"/>
    <s v="Teresa Taylor"/>
    <s v="Clinics"/>
    <n v="37320"/>
    <n v="90.802919708029194"/>
    <m/>
    <m/>
  </r>
  <r>
    <x v="4"/>
    <s v="Company Z"/>
    <s v="Syrup"/>
    <s v="50 mg"/>
    <s v="100 ml"/>
    <n v="165"/>
    <s v="$26575"/>
    <x v="138"/>
    <x v="0"/>
    <s v="Dana Sharp"/>
    <s v="Pharmacy"/>
    <n v="26575"/>
    <n v="161.06060606060606"/>
    <m/>
    <m/>
  </r>
  <r>
    <x v="3"/>
    <s v="Company Y"/>
    <s v="Injection"/>
    <s v="100 mg/ml"/>
    <s v="100 ml"/>
    <n v="1178"/>
    <s v="$33005"/>
    <x v="55"/>
    <x v="3"/>
    <s v="Kevin Boyle"/>
    <s v="Supermarkets"/>
    <n v="33005"/>
    <n v="28.017826825127333"/>
    <m/>
    <m/>
  </r>
  <r>
    <x v="2"/>
    <s v="Company Y"/>
    <s v="Tablet"/>
    <s v="100 mg/ml"/>
    <s v="100 ml"/>
    <n v="526"/>
    <s v="$43392"/>
    <x v="139"/>
    <x v="1"/>
    <s v="Dennis Wilson"/>
    <s v="Supermarkets"/>
    <n v="43392"/>
    <n v="82.49429657794677"/>
    <m/>
    <m/>
  </r>
  <r>
    <x v="4"/>
    <s v="Company Y"/>
    <s v="Syrup"/>
    <s v="250 mg"/>
    <s v="100 ml"/>
    <n v="1084"/>
    <s v="$34603"/>
    <x v="60"/>
    <x v="0"/>
    <s v="Darrell Parsons"/>
    <s v="Pharmacy"/>
    <n v="34603"/>
    <n v="31.921586715867157"/>
    <m/>
    <m/>
  </r>
  <r>
    <x v="4"/>
    <s v="Company Y"/>
    <s v="Capsule"/>
    <s v="50 mg"/>
    <s v="50 g"/>
    <n v="574"/>
    <s v="$27787"/>
    <x v="140"/>
    <x v="4"/>
    <s v="Charles Roberson"/>
    <s v="Pharmacy"/>
    <n v="27787"/>
    <n v="48.409407665505228"/>
    <m/>
    <m/>
  </r>
  <r>
    <x v="3"/>
    <s v="Company Y"/>
    <s v="Tablet"/>
    <s v="100 mg/ml"/>
    <s v="100 ml"/>
    <n v="1915"/>
    <s v="$41152"/>
    <x v="65"/>
    <x v="4"/>
    <s v="Jodi Reed"/>
    <s v="Online Pharmacy"/>
    <n v="41152"/>
    <n v="21.489295039164492"/>
    <m/>
    <m/>
  </r>
  <r>
    <x v="1"/>
    <s v="Company V"/>
    <s v="Cream"/>
    <s v="50 mg"/>
    <s v="100 ml"/>
    <n v="686"/>
    <s v="$47207"/>
    <x v="141"/>
    <x v="0"/>
    <s v="Lisa Williams"/>
    <s v="Hospitals"/>
    <n v="47207"/>
    <n v="68.814868804664727"/>
    <m/>
    <m/>
  </r>
  <r>
    <x v="2"/>
    <s v="Company V"/>
    <s v="Injection"/>
    <s v="100 mg/ml"/>
    <s v="10 ml"/>
    <n v="489"/>
    <s v="$31891"/>
    <x v="12"/>
    <x v="0"/>
    <s v="Meagan Braun"/>
    <s v="Supermarkets"/>
    <n v="31891"/>
    <n v="65.216768916155416"/>
    <m/>
    <m/>
  </r>
  <r>
    <x v="3"/>
    <s v="Company Y"/>
    <s v="Syrup"/>
    <s v="500 mg"/>
    <n v="60"/>
    <n v="1995"/>
    <s v="$25257"/>
    <x v="142"/>
    <x v="0"/>
    <s v="Michael Gibson"/>
    <s v="Pharmacy"/>
    <n v="25257"/>
    <n v="12.66015037593985"/>
    <m/>
    <m/>
  </r>
  <r>
    <x v="1"/>
    <s v="Company X"/>
    <s v="Syrup"/>
    <s v="500 mg"/>
    <s v="100 ml"/>
    <n v="1454"/>
    <s v="$28319"/>
    <x v="143"/>
    <x v="2"/>
    <s v="Mark Rivas"/>
    <s v="Clinics"/>
    <n v="28319"/>
    <n v="19.476616231086659"/>
    <m/>
    <m/>
  </r>
  <r>
    <x v="2"/>
    <s v="Company W"/>
    <s v="Tablet"/>
    <s v="10 mg"/>
    <s v="10 ml"/>
    <n v="221"/>
    <s v="$20149"/>
    <x v="111"/>
    <x v="3"/>
    <s v="Paul Sullivan"/>
    <s v="Pharmacy"/>
    <n v="20149"/>
    <n v="91.171945701357473"/>
    <m/>
    <m/>
  </r>
  <r>
    <x v="0"/>
    <s v="Company W"/>
    <s v="Tablet"/>
    <s v="100 mg/ml"/>
    <s v="100 ml"/>
    <n v="449"/>
    <s v="$20979"/>
    <x v="17"/>
    <x v="3"/>
    <s v="Mr. Kevin Larson"/>
    <s v="Pharmacy"/>
    <n v="20979"/>
    <n v="46.72383073496659"/>
    <m/>
    <m/>
  </r>
  <r>
    <x v="0"/>
    <s v="Company Z"/>
    <s v="Injection"/>
    <s v="500 mg"/>
    <n v="60"/>
    <n v="1180"/>
    <s v="$24090"/>
    <x v="144"/>
    <x v="0"/>
    <s v="George White"/>
    <s v="Supermarkets"/>
    <n v="24090"/>
    <n v="20.415254237288135"/>
    <m/>
    <m/>
  </r>
  <r>
    <x v="3"/>
    <s v="Company W"/>
    <s v="Tablet"/>
    <s v="50 mg"/>
    <n v="30"/>
    <n v="898"/>
    <s v="$10545"/>
    <x v="47"/>
    <x v="2"/>
    <s v="John Davis"/>
    <s v="Pharmacy"/>
    <n v="10545"/>
    <n v="11.742761692650333"/>
    <m/>
    <m/>
  </r>
  <r>
    <x v="3"/>
    <s v="Company W"/>
    <s v="Cream"/>
    <s v="10 mg"/>
    <n v="60"/>
    <n v="967"/>
    <s v="$37020"/>
    <x v="145"/>
    <x v="2"/>
    <s v="Kevin Clark"/>
    <s v="Supermarkets"/>
    <n v="37020"/>
    <n v="38.283350568769393"/>
    <m/>
    <m/>
  </r>
  <r>
    <x v="3"/>
    <s v="Company W"/>
    <s v="Injection"/>
    <s v="50 mg"/>
    <n v="60"/>
    <n v="909"/>
    <s v="$12714"/>
    <x v="146"/>
    <x v="1"/>
    <s v="John Orozco"/>
    <s v="Online Pharmacy"/>
    <n v="12714"/>
    <n v="13.986798679867986"/>
    <m/>
    <m/>
  </r>
  <r>
    <x v="3"/>
    <s v="Company Z"/>
    <s v="Capsule"/>
    <s v="100 mg/ml"/>
    <s v="100 ml"/>
    <n v="654"/>
    <s v="$8859"/>
    <x v="147"/>
    <x v="2"/>
    <s v="Danielle Thomas"/>
    <s v="Hospitals"/>
    <n v="8859"/>
    <n v="13.545871559633028"/>
    <m/>
    <m/>
  </r>
  <r>
    <x v="2"/>
    <s v="Company V"/>
    <s v="Injection"/>
    <s v="500 mg"/>
    <n v="30"/>
    <n v="883"/>
    <s v="$14721"/>
    <x v="148"/>
    <x v="0"/>
    <s v="Yolanda Sims"/>
    <s v="Clinics"/>
    <n v="14721"/>
    <n v="16.671574178935447"/>
    <m/>
    <m/>
  </r>
  <r>
    <x v="0"/>
    <s v="Company W"/>
    <s v="Cream"/>
    <s v="100 mg/ml"/>
    <s v="100 ml"/>
    <n v="565"/>
    <s v="$4821"/>
    <x v="149"/>
    <x v="3"/>
    <s v="John Allen"/>
    <s v="Clinics"/>
    <n v="4821"/>
    <n v="8.5327433628318587"/>
    <m/>
    <m/>
  </r>
  <r>
    <x v="0"/>
    <s v="Company V"/>
    <s v="Capsule"/>
    <s v="250 mg"/>
    <s v="50 g"/>
    <n v="933"/>
    <s v="$26268"/>
    <x v="150"/>
    <x v="4"/>
    <s v="Larry Dunn"/>
    <s v="Hospitals"/>
    <n v="26268"/>
    <n v="28.15434083601286"/>
    <m/>
    <m/>
  </r>
  <r>
    <x v="2"/>
    <s v="Company W"/>
    <s v="Injection"/>
    <s v="100 mg/ml"/>
    <s v="10 ml"/>
    <n v="1793"/>
    <s v="$12451"/>
    <x v="151"/>
    <x v="1"/>
    <s v="Robert Clark"/>
    <s v="Online Pharmacy"/>
    <n v="12451"/>
    <n v="6.9442275515895151"/>
    <m/>
    <m/>
  </r>
  <r>
    <x v="1"/>
    <s v="Company V"/>
    <s v="Syrup"/>
    <s v="500 mg"/>
    <s v="100 ml"/>
    <n v="697"/>
    <s v="$19171"/>
    <x v="152"/>
    <x v="2"/>
    <s v="Pamela Benson"/>
    <s v="Pharmacy"/>
    <n v="19171"/>
    <n v="27.505021520803442"/>
    <m/>
    <m/>
  </r>
  <r>
    <x v="4"/>
    <s v="Company V"/>
    <s v="Cream"/>
    <s v="250 mg"/>
    <n v="30"/>
    <n v="379"/>
    <s v="$45953"/>
    <x v="132"/>
    <x v="2"/>
    <s v="Emily Wright"/>
    <s v="Supermarkets"/>
    <n v="45953"/>
    <n v="121.24802110817942"/>
    <m/>
    <m/>
  </r>
  <r>
    <x v="4"/>
    <s v="Company Y"/>
    <s v="Injection"/>
    <s v="10 mg"/>
    <n v="60"/>
    <n v="1640"/>
    <s v="$18487"/>
    <x v="153"/>
    <x v="0"/>
    <s v="Robert Johnson"/>
    <s v="Clinics"/>
    <n v="18487"/>
    <n v="11.272560975609757"/>
    <m/>
    <m/>
  </r>
  <r>
    <x v="2"/>
    <s v="Company X"/>
    <s v="Syrup"/>
    <s v="500 mg"/>
    <s v="10 ml"/>
    <n v="244"/>
    <s v="$29056"/>
    <x v="34"/>
    <x v="2"/>
    <s v="Phillip Turner"/>
    <s v="Supermarkets"/>
    <n v="29056"/>
    <n v="119.08196721311475"/>
    <m/>
    <m/>
  </r>
  <r>
    <x v="2"/>
    <s v="Company Z"/>
    <s v="Tablet"/>
    <s v="10 mg"/>
    <n v="60"/>
    <n v="482"/>
    <s v="$4566"/>
    <x v="154"/>
    <x v="2"/>
    <s v="Antonio Murphy"/>
    <s v="Online Pharmacy"/>
    <n v="4566"/>
    <n v="9.4730290456431536"/>
    <m/>
    <m/>
  </r>
  <r>
    <x v="0"/>
    <s v="Company Y"/>
    <s v="Injection"/>
    <s v="500 mg"/>
    <n v="60"/>
    <n v="982"/>
    <s v="$5040"/>
    <x v="6"/>
    <x v="2"/>
    <s v="Erin Cline"/>
    <s v="Hospitals"/>
    <n v="5040"/>
    <n v="5.1323828920570262"/>
    <m/>
    <m/>
  </r>
  <r>
    <x v="4"/>
    <s v="Company X"/>
    <s v="Tablet"/>
    <s v="100 mg/ml"/>
    <s v="100 ml"/>
    <n v="401"/>
    <s v="$33003"/>
    <x v="155"/>
    <x v="2"/>
    <s v="Jessica Morris"/>
    <s v="Hospitals"/>
    <n v="33003"/>
    <n v="82.301745635910223"/>
    <m/>
    <m/>
  </r>
  <r>
    <x v="2"/>
    <s v="Company X"/>
    <s v="Capsule"/>
    <s v="100 mg/ml"/>
    <n v="60"/>
    <n v="1315"/>
    <s v="$13838"/>
    <x v="0"/>
    <x v="0"/>
    <s v="Stephen Smith"/>
    <s v="Clinics"/>
    <n v="13838"/>
    <n v="10.523193916349809"/>
    <m/>
    <m/>
  </r>
  <r>
    <x v="0"/>
    <s v="Company W"/>
    <s v="Capsule"/>
    <s v="500 mg"/>
    <s v="10 ml"/>
    <n v="1986"/>
    <s v="$21856"/>
    <x v="156"/>
    <x v="0"/>
    <s v="Kayla Meyer"/>
    <s v="Pharmacy"/>
    <n v="21856"/>
    <n v="11.00503524672709"/>
    <m/>
    <m/>
  </r>
  <r>
    <x v="3"/>
    <s v="Company W"/>
    <s v="Cream"/>
    <s v="10 mg"/>
    <s v="100 ml"/>
    <n v="626"/>
    <s v="$41156"/>
    <x v="142"/>
    <x v="4"/>
    <s v="Cynthia Phillips"/>
    <s v="Pharmacy"/>
    <n v="41156"/>
    <n v="65.744408945686899"/>
    <m/>
    <m/>
  </r>
  <r>
    <x v="4"/>
    <s v="Company V"/>
    <s v="Tablet"/>
    <s v="50 mg"/>
    <n v="30"/>
    <n v="817"/>
    <s v="$41978"/>
    <x v="157"/>
    <x v="3"/>
    <s v="James Smith"/>
    <s v="Clinics"/>
    <n v="41978"/>
    <n v="51.380660954712361"/>
    <m/>
    <m/>
  </r>
  <r>
    <x v="3"/>
    <s v="Company W"/>
    <s v="Syrup"/>
    <s v="50 mg"/>
    <s v="10 ml"/>
    <n v="1540"/>
    <s v="$46616"/>
    <x v="158"/>
    <x v="3"/>
    <s v="Jacob Spencer"/>
    <s v="Clinics"/>
    <n v="46616"/>
    <n v="30.270129870129871"/>
    <m/>
    <m/>
  </r>
  <r>
    <x v="0"/>
    <s v="Company Y"/>
    <s v="Cream"/>
    <s v="50 mg"/>
    <n v="60"/>
    <n v="1352"/>
    <s v="$9133"/>
    <x v="159"/>
    <x v="1"/>
    <s v="Joseph Marks"/>
    <s v="Supermarkets"/>
    <n v="9133"/>
    <n v="6.7551775147928996"/>
    <m/>
    <m/>
  </r>
  <r>
    <x v="2"/>
    <s v="Company X"/>
    <s v="Injection"/>
    <s v="100 mg/ml"/>
    <s v="10 ml"/>
    <n v="428"/>
    <s v="$26054"/>
    <x v="160"/>
    <x v="2"/>
    <s v="James Campbell"/>
    <s v="Pharmacy"/>
    <n v="26054"/>
    <n v="60.873831775700936"/>
    <m/>
    <m/>
  </r>
  <r>
    <x v="4"/>
    <s v="Company Z"/>
    <s v="Injection"/>
    <s v="250 mg"/>
    <n v="60"/>
    <n v="1934"/>
    <s v="$41356"/>
    <x v="161"/>
    <x v="0"/>
    <s v="Kristina Simpson"/>
    <s v="Hospitals"/>
    <n v="41356"/>
    <n v="21.383660806618408"/>
    <m/>
    <m/>
  </r>
  <r>
    <x v="2"/>
    <s v="Company Z"/>
    <s v="Capsule"/>
    <s v="10 mg"/>
    <s v="50 g"/>
    <n v="1826"/>
    <s v="$2719"/>
    <x v="162"/>
    <x v="0"/>
    <s v="Cody Robbins"/>
    <s v="Supermarkets"/>
    <n v="2719"/>
    <n v="1.4890470974808325"/>
    <m/>
    <m/>
  </r>
  <r>
    <x v="1"/>
    <s v="Company Z"/>
    <s v="Tablet"/>
    <s v="50 mg"/>
    <s v="10 ml"/>
    <n v="594"/>
    <s v="$11887"/>
    <x v="163"/>
    <x v="1"/>
    <s v="Karen Buchanan"/>
    <s v="Online Pharmacy"/>
    <n v="11887"/>
    <n v="20.011784511784512"/>
    <m/>
    <m/>
  </r>
  <r>
    <x v="4"/>
    <s v="Company W"/>
    <s v="Injection"/>
    <s v="250 mg"/>
    <s v="50 g"/>
    <n v="105"/>
    <s v="$36153"/>
    <x v="96"/>
    <x v="3"/>
    <s v="James Haley"/>
    <s v="Pharmacy"/>
    <n v="36153"/>
    <n v="344.31428571428569"/>
    <m/>
    <m/>
  </r>
  <r>
    <x v="2"/>
    <s v="Company W"/>
    <s v="Tablet"/>
    <s v="250 mg"/>
    <s v="50 g"/>
    <n v="1169"/>
    <s v="$21685"/>
    <x v="164"/>
    <x v="0"/>
    <s v="Sarah Hammond"/>
    <s v="Clinics"/>
    <n v="21685"/>
    <n v="18.550042771599657"/>
    <m/>
    <m/>
  </r>
  <r>
    <x v="3"/>
    <s v="Company Z"/>
    <s v="Tablet"/>
    <s v="500 mg"/>
    <n v="30"/>
    <n v="1463"/>
    <s v="$49601"/>
    <x v="165"/>
    <x v="1"/>
    <s v="Rebecca Jackson"/>
    <s v="Supermarkets"/>
    <n v="49601"/>
    <n v="33.903622693096381"/>
    <m/>
    <m/>
  </r>
  <r>
    <x v="2"/>
    <s v="Company W"/>
    <s v="Tablet"/>
    <s v="250 mg"/>
    <s v="50 g"/>
    <n v="1091"/>
    <s v="$15021"/>
    <x v="2"/>
    <x v="4"/>
    <s v="Angela Nunez"/>
    <s v="Hospitals"/>
    <n v="15021"/>
    <n v="13.768102658111824"/>
    <m/>
    <m/>
  </r>
  <r>
    <x v="2"/>
    <s v="Company Z"/>
    <s v="Injection"/>
    <s v="50 mg"/>
    <s v="10 ml"/>
    <n v="230"/>
    <s v="$15353"/>
    <x v="166"/>
    <x v="2"/>
    <s v="Richard Gutierrez"/>
    <s v="Supermarkets"/>
    <n v="15353"/>
    <n v="66.752173913043478"/>
    <m/>
    <m/>
  </r>
  <r>
    <x v="1"/>
    <s v="Company X"/>
    <s v="Cream"/>
    <s v="500 mg"/>
    <n v="30"/>
    <n v="1603"/>
    <s v="$46470"/>
    <x v="119"/>
    <x v="1"/>
    <s v="Barbara Kim"/>
    <s v="Supermarkets"/>
    <n v="46470"/>
    <n v="28.989394884591391"/>
    <m/>
    <m/>
  </r>
  <r>
    <x v="2"/>
    <s v="Company Y"/>
    <s v="Capsule"/>
    <s v="100 mg/ml"/>
    <n v="60"/>
    <n v="522"/>
    <s v="$32783"/>
    <x v="79"/>
    <x v="1"/>
    <s v="Elizabeth Mcdaniel"/>
    <s v="Supermarkets"/>
    <n v="32783"/>
    <n v="62.802681992337163"/>
    <m/>
    <m/>
  </r>
  <r>
    <x v="3"/>
    <s v="Company W"/>
    <s v="Cream"/>
    <s v="50 mg"/>
    <s v="100 ml"/>
    <n v="302"/>
    <s v="$9722"/>
    <x v="105"/>
    <x v="3"/>
    <s v="Jamie Fischer"/>
    <s v="Online Pharmacy"/>
    <n v="9722"/>
    <n v="32.192052980132452"/>
    <m/>
    <m/>
  </r>
  <r>
    <x v="1"/>
    <s v="Company V"/>
    <s v="Tablet"/>
    <s v="250 mg"/>
    <s v="10 ml"/>
    <n v="664"/>
    <s v="$32835"/>
    <x v="167"/>
    <x v="4"/>
    <s v="Andre Bauer"/>
    <s v="Pharmacy"/>
    <n v="32835"/>
    <n v="49.450301204819276"/>
    <m/>
    <m/>
  </r>
  <r>
    <x v="0"/>
    <s v="Company V"/>
    <s v="Tablet"/>
    <s v="500 mg"/>
    <n v="60"/>
    <n v="1701"/>
    <s v="$36720"/>
    <x v="168"/>
    <x v="2"/>
    <s v="Robert Graham"/>
    <s v="Supermarkets"/>
    <n v="36720"/>
    <n v="21.587301587301589"/>
    <m/>
    <m/>
  </r>
  <r>
    <x v="0"/>
    <s v="Company W"/>
    <s v="Capsule"/>
    <s v="500 mg"/>
    <n v="30"/>
    <n v="1048"/>
    <s v="$1486"/>
    <x v="169"/>
    <x v="1"/>
    <s v="Elizabeth Adams"/>
    <s v="Supermarkets"/>
    <n v="1486"/>
    <n v="1.41793893129771"/>
    <m/>
    <m/>
  </r>
  <r>
    <x v="4"/>
    <s v="Company Y"/>
    <s v="Tablet"/>
    <s v="250 mg"/>
    <s v="10 ml"/>
    <n v="1570"/>
    <s v="$17354"/>
    <x v="170"/>
    <x v="1"/>
    <s v="Richard Lawson"/>
    <s v="Hospitals"/>
    <n v="17354"/>
    <n v="11.053503184713376"/>
    <m/>
    <m/>
  </r>
  <r>
    <x v="4"/>
    <s v="Company X"/>
    <s v="Tablet"/>
    <s v="500 mg"/>
    <n v="30"/>
    <n v="109"/>
    <s v="$17302"/>
    <x v="171"/>
    <x v="1"/>
    <s v="Christopher Fischer"/>
    <s v="Supermarkets"/>
    <n v="17302"/>
    <n v="158.73394495412845"/>
    <m/>
    <m/>
  </r>
  <r>
    <x v="4"/>
    <s v="Company Z"/>
    <s v="Capsule"/>
    <s v="100 mg/ml"/>
    <s v="10 ml"/>
    <n v="141"/>
    <s v="$19153"/>
    <x v="172"/>
    <x v="3"/>
    <s v="Jasmine Day"/>
    <s v="Supermarkets"/>
    <n v="19153"/>
    <n v="135.8368794326241"/>
    <m/>
    <m/>
  </r>
  <r>
    <x v="0"/>
    <s v="Company X"/>
    <s v="Cream"/>
    <s v="10 mg"/>
    <n v="60"/>
    <n v="1239"/>
    <s v="$36616"/>
    <x v="162"/>
    <x v="1"/>
    <s v="Lisa Cordova"/>
    <s v="Clinics"/>
    <n v="36616"/>
    <n v="29.552865213882164"/>
    <m/>
    <m/>
  </r>
  <r>
    <x v="4"/>
    <s v="Company X"/>
    <s v="Tablet"/>
    <s v="50 mg"/>
    <n v="60"/>
    <n v="1499"/>
    <s v="$4766"/>
    <x v="173"/>
    <x v="1"/>
    <s v="Alejandro Bishop"/>
    <s v="Online Pharmacy"/>
    <n v="4766"/>
    <n v="3.179452968645764"/>
    <m/>
    <m/>
  </r>
  <r>
    <x v="4"/>
    <s v="Company X"/>
    <s v="Tablet"/>
    <s v="10 mg"/>
    <n v="60"/>
    <n v="1869"/>
    <s v="$25748"/>
    <x v="174"/>
    <x v="0"/>
    <s v="David Anderson"/>
    <s v="Online Pharmacy"/>
    <n v="25748"/>
    <n v="13.776350989834135"/>
    <m/>
    <m/>
  </r>
  <r>
    <x v="2"/>
    <s v="Company W"/>
    <s v="Syrup"/>
    <s v="100 mg/ml"/>
    <n v="30"/>
    <n v="1355"/>
    <s v="$27880"/>
    <x v="175"/>
    <x v="0"/>
    <s v="Sara Chapman"/>
    <s v="Clinics"/>
    <n v="27880"/>
    <n v="20.575645756457565"/>
    <m/>
    <m/>
  </r>
  <r>
    <x v="2"/>
    <s v="Company V"/>
    <s v="Capsule"/>
    <s v="100 mg/ml"/>
    <n v="30"/>
    <n v="1173"/>
    <s v="$8649"/>
    <x v="110"/>
    <x v="0"/>
    <s v="Kevin Wilson"/>
    <s v="Online Pharmacy"/>
    <n v="8649"/>
    <n v="7.3734015345268542"/>
    <m/>
    <m/>
  </r>
  <r>
    <x v="4"/>
    <s v="Company Z"/>
    <s v="Syrup"/>
    <s v="10 mg"/>
    <n v="60"/>
    <n v="828"/>
    <s v="$30214"/>
    <x v="176"/>
    <x v="4"/>
    <s v="Edward Silva"/>
    <s v="Pharmacy"/>
    <n v="30214"/>
    <n v="36.490338164251206"/>
    <m/>
    <m/>
  </r>
  <r>
    <x v="2"/>
    <s v="Company W"/>
    <s v="Syrup"/>
    <s v="100 mg/ml"/>
    <n v="30"/>
    <n v="453"/>
    <s v="$10749"/>
    <x v="177"/>
    <x v="3"/>
    <s v="Erika Robinson"/>
    <s v="Supermarkets"/>
    <n v="10749"/>
    <n v="23.728476821192054"/>
    <m/>
    <m/>
  </r>
  <r>
    <x v="2"/>
    <s v="Company Y"/>
    <s v="Injection"/>
    <s v="250 mg"/>
    <s v="50 g"/>
    <n v="132"/>
    <s v="$17487"/>
    <x v="178"/>
    <x v="2"/>
    <s v="Lauren Baker"/>
    <s v="Supermarkets"/>
    <n v="17487"/>
    <n v="132.47727272727272"/>
    <m/>
    <m/>
  </r>
  <r>
    <x v="3"/>
    <s v="Company W"/>
    <s v="Cream"/>
    <s v="100 mg/ml"/>
    <s v="100 ml"/>
    <n v="620"/>
    <s v="$32593"/>
    <x v="132"/>
    <x v="2"/>
    <s v="Christopher Wilson"/>
    <s v="Hospitals"/>
    <n v="32593"/>
    <n v="52.569354838709678"/>
    <m/>
    <m/>
  </r>
  <r>
    <x v="1"/>
    <s v="Company X"/>
    <s v="Tablet"/>
    <s v="10 mg"/>
    <s v="50 g"/>
    <n v="1423"/>
    <s v="$21911"/>
    <x v="126"/>
    <x v="1"/>
    <s v="Steven Bray"/>
    <s v="Hospitals"/>
    <n v="21911"/>
    <n v="15.397751229796205"/>
    <m/>
    <m/>
  </r>
  <r>
    <x v="0"/>
    <s v="Company Z"/>
    <s v="Cream"/>
    <s v="500 mg"/>
    <s v="50 g"/>
    <n v="1308"/>
    <s v="$16623"/>
    <x v="96"/>
    <x v="0"/>
    <s v="Sharon Carter"/>
    <s v="Clinics"/>
    <n v="16623"/>
    <n v="12.708715596330276"/>
    <m/>
    <m/>
  </r>
  <r>
    <x v="1"/>
    <s v="Company Y"/>
    <s v="Injection"/>
    <s v="500 mg"/>
    <n v="60"/>
    <n v="460"/>
    <s v="$29993"/>
    <x v="88"/>
    <x v="1"/>
    <s v="Gregg Yu"/>
    <s v="Pharmacy"/>
    <n v="29993"/>
    <n v="65.202173913043481"/>
    <m/>
    <m/>
  </r>
  <r>
    <x v="0"/>
    <s v="Company Z"/>
    <s v="Injection"/>
    <s v="50 mg"/>
    <s v="10 ml"/>
    <n v="1598"/>
    <s v="$43114"/>
    <x v="179"/>
    <x v="4"/>
    <s v="Bradley Pennington"/>
    <s v="Online Pharmacy"/>
    <n v="43114"/>
    <n v="26.979974968710888"/>
    <m/>
    <m/>
  </r>
  <r>
    <x v="1"/>
    <s v="Company W"/>
    <s v="Tablet"/>
    <s v="100 mg/ml"/>
    <s v="50 g"/>
    <n v="978"/>
    <s v="$46578"/>
    <x v="59"/>
    <x v="3"/>
    <s v="Angelica Hensley"/>
    <s v="Hospitals"/>
    <n v="46578"/>
    <n v="47.625766871165645"/>
    <m/>
    <m/>
  </r>
  <r>
    <x v="0"/>
    <s v="Company Z"/>
    <s v="Tablet"/>
    <s v="50 mg"/>
    <s v="100 ml"/>
    <n v="1484"/>
    <s v="$15499"/>
    <x v="180"/>
    <x v="4"/>
    <s v="Benjamin Holloway"/>
    <s v="Pharmacy"/>
    <n v="15499"/>
    <n v="10.444070080862534"/>
    <m/>
    <m/>
  </r>
  <r>
    <x v="3"/>
    <s v="Company V"/>
    <s v="Cream"/>
    <s v="500 mg"/>
    <s v="100 ml"/>
    <n v="1807"/>
    <s v="$37740"/>
    <x v="181"/>
    <x v="0"/>
    <s v="Michael Williams"/>
    <s v="Clinics"/>
    <n v="37740"/>
    <n v="20.885445489762038"/>
    <m/>
    <m/>
  </r>
  <r>
    <x v="4"/>
    <s v="Company Z"/>
    <s v="Tablet"/>
    <s v="100 mg/ml"/>
    <s v="50 g"/>
    <n v="1197"/>
    <s v="$36217"/>
    <x v="182"/>
    <x v="0"/>
    <s v="William Ford"/>
    <s v="Online Pharmacy"/>
    <n v="36217"/>
    <n v="30.256474519632416"/>
    <m/>
    <m/>
  </r>
  <r>
    <x v="3"/>
    <s v="Company X"/>
    <s v="Injection"/>
    <s v="100 mg/ml"/>
    <n v="30"/>
    <n v="1169"/>
    <s v="$33004"/>
    <x v="183"/>
    <x v="0"/>
    <s v="Miss Elizabeth Evans"/>
    <s v="Online Pharmacy"/>
    <n v="33004"/>
    <n v="28.232677502138579"/>
    <m/>
    <m/>
  </r>
  <r>
    <x v="2"/>
    <s v="Company X"/>
    <s v="Syrup"/>
    <s v="10 mg"/>
    <s v="10 ml"/>
    <n v="1713"/>
    <s v="$30761"/>
    <x v="22"/>
    <x v="4"/>
    <s v="James Mccarty"/>
    <s v="Online Pharmacy"/>
    <n v="30761"/>
    <n v="17.957384705195562"/>
    <m/>
    <m/>
  </r>
  <r>
    <x v="4"/>
    <s v="Company X"/>
    <s v="Injection"/>
    <s v="500 mg"/>
    <s v="100 ml"/>
    <n v="1245"/>
    <s v="$32469"/>
    <x v="184"/>
    <x v="1"/>
    <s v="Adam Cox"/>
    <s v="Pharmacy"/>
    <n v="32469"/>
    <n v="26.079518072289158"/>
    <m/>
    <m/>
  </r>
  <r>
    <x v="0"/>
    <s v="Company X"/>
    <s v="Injection"/>
    <s v="10 mg"/>
    <s v="50 g"/>
    <n v="454"/>
    <s v="$37133"/>
    <x v="185"/>
    <x v="3"/>
    <s v="Brandon Cooper"/>
    <s v="Online Pharmacy"/>
    <n v="37133"/>
    <n v="81.790748898678416"/>
    <m/>
    <m/>
  </r>
  <r>
    <x v="2"/>
    <s v="Company Y"/>
    <s v="Cream"/>
    <s v="10 mg"/>
    <n v="30"/>
    <n v="1550"/>
    <s v="$45767"/>
    <x v="186"/>
    <x v="4"/>
    <s v="Cathy Gonzalez"/>
    <s v="Online Pharmacy"/>
    <n v="45767"/>
    <n v="29.527096774193549"/>
    <m/>
    <m/>
  </r>
  <r>
    <x v="4"/>
    <s v="Company V"/>
    <s v="Syrup"/>
    <s v="50 mg"/>
    <s v="100 ml"/>
    <n v="1488"/>
    <s v="$19770"/>
    <x v="187"/>
    <x v="4"/>
    <s v="Mrs. Hailey Johnson DDS"/>
    <s v="Online Pharmacy"/>
    <n v="19770"/>
    <n v="13.286290322580646"/>
    <m/>
    <m/>
  </r>
  <r>
    <x v="0"/>
    <s v="Company V"/>
    <s v="Syrup"/>
    <s v="250 mg"/>
    <n v="30"/>
    <n v="1207"/>
    <s v="$29546"/>
    <x v="10"/>
    <x v="3"/>
    <s v="Austin Martinez"/>
    <s v="Pharmacy"/>
    <n v="29546"/>
    <n v="24.47887323943662"/>
    <m/>
    <m/>
  </r>
  <r>
    <x v="1"/>
    <s v="Company W"/>
    <s v="Injection"/>
    <s v="500 mg"/>
    <n v="30"/>
    <n v="751"/>
    <s v="$46620"/>
    <x v="188"/>
    <x v="3"/>
    <s v="Stephanie Davis"/>
    <s v="Clinics"/>
    <n v="46620"/>
    <n v="62.077230359520641"/>
    <m/>
    <m/>
  </r>
  <r>
    <x v="3"/>
    <s v="Company V"/>
    <s v="Injection"/>
    <s v="100 mg/ml"/>
    <n v="60"/>
    <n v="1388"/>
    <s v="$44954"/>
    <x v="189"/>
    <x v="1"/>
    <s v="Erica Bass"/>
    <s v="Clinics"/>
    <n v="44954"/>
    <n v="32.387608069164266"/>
    <m/>
    <m/>
  </r>
  <r>
    <x v="4"/>
    <s v="Company X"/>
    <s v="Tablet"/>
    <s v="100 mg/ml"/>
    <s v="100 ml"/>
    <n v="712"/>
    <s v="$24140"/>
    <x v="65"/>
    <x v="1"/>
    <s v="Jonathan Brown"/>
    <s v="Hospitals"/>
    <n v="24140"/>
    <n v="33.90449438202247"/>
    <m/>
    <m/>
  </r>
  <r>
    <x v="3"/>
    <s v="Company Y"/>
    <s v="Tablet"/>
    <s v="500 mg"/>
    <s v="100 ml"/>
    <n v="1428"/>
    <s v="$1848"/>
    <x v="190"/>
    <x v="2"/>
    <s v="Zachary Miller"/>
    <s v="Hospitals"/>
    <n v="1848"/>
    <n v="1.2941176470588236"/>
    <m/>
    <m/>
  </r>
  <r>
    <x v="0"/>
    <s v="Company Y"/>
    <s v="Injection"/>
    <s v="250 mg"/>
    <s v="100 ml"/>
    <n v="1437"/>
    <s v="$1329"/>
    <x v="191"/>
    <x v="0"/>
    <s v="Dr. Laura Shaffer"/>
    <s v="Hospitals"/>
    <n v="1329"/>
    <n v="0.92484342379958251"/>
    <m/>
    <m/>
  </r>
  <r>
    <x v="1"/>
    <s v="Company Z"/>
    <s v="Syrup"/>
    <s v="50 mg"/>
    <n v="60"/>
    <n v="818"/>
    <s v="$34522"/>
    <x v="192"/>
    <x v="3"/>
    <s v="Paul Smith"/>
    <s v="Clinics"/>
    <n v="34522"/>
    <n v="42.202933985330077"/>
    <m/>
    <m/>
  </r>
  <r>
    <x v="4"/>
    <s v="Company Y"/>
    <s v="Tablet"/>
    <s v="10 mg"/>
    <n v="30"/>
    <n v="1094"/>
    <s v="$34972"/>
    <x v="193"/>
    <x v="3"/>
    <s v="Stacey Hart"/>
    <s v="Online Pharmacy"/>
    <n v="34972"/>
    <n v="31.967093235831811"/>
    <m/>
    <m/>
  </r>
  <r>
    <x v="2"/>
    <s v="Company W"/>
    <s v="Capsule"/>
    <s v="50 mg"/>
    <n v="60"/>
    <n v="1882"/>
    <s v="$1492"/>
    <x v="194"/>
    <x v="0"/>
    <s v="Dr. Sara Wilson"/>
    <s v="Hospitals"/>
    <n v="1492"/>
    <n v="0.7927736450584485"/>
    <m/>
    <m/>
  </r>
  <r>
    <x v="4"/>
    <s v="Company V"/>
    <s v="Tablet"/>
    <s v="250 mg"/>
    <s v="10 ml"/>
    <n v="1247"/>
    <s v="$40432"/>
    <x v="195"/>
    <x v="3"/>
    <s v="Gary Lucas"/>
    <s v="Hospitals"/>
    <n v="40432"/>
    <n v="32.423416198877305"/>
    <m/>
    <m/>
  </r>
  <r>
    <x v="2"/>
    <s v="Company Y"/>
    <s v="Capsule"/>
    <s v="500 mg"/>
    <s v="100 ml"/>
    <n v="1989"/>
    <s v="$14261"/>
    <x v="196"/>
    <x v="4"/>
    <s v="Jacqueline Greene"/>
    <s v="Hospitals"/>
    <n v="14261"/>
    <n v="7.1699346405228761"/>
    <m/>
    <m/>
  </r>
  <r>
    <x v="3"/>
    <s v="Company X"/>
    <s v="Cream"/>
    <s v="50 mg"/>
    <s v="100 ml"/>
    <n v="1725"/>
    <s v="$26182"/>
    <x v="65"/>
    <x v="0"/>
    <s v="Joseph Ross"/>
    <s v="Online Pharmacy"/>
    <n v="26182"/>
    <n v="15.177971014492753"/>
    <m/>
    <m/>
  </r>
  <r>
    <x v="1"/>
    <s v="Company V"/>
    <s v="Cream"/>
    <s v="50 mg"/>
    <s v="50 g"/>
    <n v="815"/>
    <s v="$33782"/>
    <x v="153"/>
    <x v="2"/>
    <s v="John Davila"/>
    <s v="Pharmacy"/>
    <n v="33782"/>
    <n v="41.450306748466261"/>
    <m/>
    <m/>
  </r>
  <r>
    <x v="4"/>
    <s v="Company W"/>
    <s v="Syrup"/>
    <s v="250 mg"/>
    <n v="60"/>
    <n v="135"/>
    <s v="$40651"/>
    <x v="197"/>
    <x v="3"/>
    <s v="Jerry Michael"/>
    <s v="Clinics"/>
    <n v="40651"/>
    <n v="301.1185185185185"/>
    <m/>
    <m/>
  </r>
  <r>
    <x v="3"/>
    <s v="Company X"/>
    <s v="Syrup"/>
    <s v="500 mg"/>
    <n v="30"/>
    <n v="1664"/>
    <s v="$25573"/>
    <x v="198"/>
    <x v="0"/>
    <s v="Christina Blankenship"/>
    <s v="Online Pharmacy"/>
    <n v="25573"/>
    <n v="15.368389423076923"/>
    <m/>
    <m/>
  </r>
  <r>
    <x v="4"/>
    <s v="Company V"/>
    <s v="Syrup"/>
    <s v="50 mg"/>
    <s v="50 g"/>
    <n v="1402"/>
    <s v="$31956"/>
    <x v="199"/>
    <x v="2"/>
    <s v="Daniel Bryant"/>
    <s v="Clinics"/>
    <n v="31956"/>
    <n v="22.793152639087019"/>
    <m/>
    <m/>
  </r>
  <r>
    <x v="0"/>
    <s v="Company X"/>
    <s v="Capsule"/>
    <s v="250 mg"/>
    <s v="10 ml"/>
    <n v="153"/>
    <s v="$30983"/>
    <x v="34"/>
    <x v="1"/>
    <s v="Maria Moore"/>
    <s v="Pharmacy"/>
    <n v="30983"/>
    <n v="202.5032679738562"/>
    <m/>
    <m/>
  </r>
  <r>
    <x v="0"/>
    <s v="Company X"/>
    <s v="Tablet"/>
    <s v="250 mg"/>
    <n v="60"/>
    <n v="399"/>
    <s v="$21160"/>
    <x v="200"/>
    <x v="3"/>
    <s v="Danny Pennington"/>
    <s v="Hospitals"/>
    <n v="21160"/>
    <n v="53.032581453634087"/>
    <m/>
    <m/>
  </r>
  <r>
    <x v="2"/>
    <s v="Company X"/>
    <s v="Cream"/>
    <s v="100 mg/ml"/>
    <s v="50 g"/>
    <n v="314"/>
    <s v="$43409"/>
    <x v="195"/>
    <x v="4"/>
    <s v="Geoffrey Elliott"/>
    <s v="Pharmacy"/>
    <n v="43409"/>
    <n v="138.24522292993632"/>
    <m/>
    <m/>
  </r>
  <r>
    <x v="4"/>
    <s v="Company V"/>
    <s v="Cream"/>
    <s v="100 mg/ml"/>
    <n v="60"/>
    <n v="504"/>
    <s v="$46392"/>
    <x v="201"/>
    <x v="0"/>
    <s v="Heather Simmons"/>
    <s v="Pharmacy"/>
    <n v="46392"/>
    <n v="92.047619047619051"/>
    <m/>
    <m/>
  </r>
  <r>
    <x v="0"/>
    <s v="Company W"/>
    <s v="Injection"/>
    <s v="250 mg"/>
    <n v="30"/>
    <n v="214"/>
    <s v="$10257"/>
    <x v="114"/>
    <x v="2"/>
    <s v="Mark Mckinney"/>
    <s v="Hospitals"/>
    <n v="10257"/>
    <n v="47.929906542056074"/>
    <m/>
    <m/>
  </r>
  <r>
    <x v="4"/>
    <s v="Company V"/>
    <s v="Capsule"/>
    <s v="10 mg"/>
    <s v="100 ml"/>
    <n v="1738"/>
    <s v="$17663"/>
    <x v="202"/>
    <x v="2"/>
    <s v="Amy Dickson"/>
    <s v="Pharmacy"/>
    <n v="17663"/>
    <n v="10.162830840046031"/>
    <m/>
    <m/>
  </r>
  <r>
    <x v="0"/>
    <s v="Company V"/>
    <s v="Injection"/>
    <s v="100 mg/ml"/>
    <n v="30"/>
    <n v="167"/>
    <s v="$4175"/>
    <x v="203"/>
    <x v="4"/>
    <s v="Bradley Dean"/>
    <s v="Clinics"/>
    <n v="4175"/>
    <n v="25"/>
    <m/>
    <m/>
  </r>
  <r>
    <x v="3"/>
    <s v="Company X"/>
    <s v="Syrup"/>
    <s v="500 mg"/>
    <n v="30"/>
    <n v="1696"/>
    <s v="$26976"/>
    <x v="204"/>
    <x v="0"/>
    <s v="Dylan Warren"/>
    <s v="Pharmacy"/>
    <n v="26976"/>
    <n v="15.90566037735849"/>
    <m/>
    <m/>
  </r>
  <r>
    <x v="0"/>
    <s v="Company X"/>
    <s v="Cream"/>
    <s v="10 mg"/>
    <s v="10 ml"/>
    <n v="1216"/>
    <s v="$32615"/>
    <x v="205"/>
    <x v="0"/>
    <s v="Ryan Thompson"/>
    <s v="Hospitals"/>
    <n v="32615"/>
    <n v="26.821546052631579"/>
    <m/>
    <m/>
  </r>
  <r>
    <x v="2"/>
    <s v="Company V"/>
    <s v="Capsule"/>
    <s v="10 mg"/>
    <s v="10 ml"/>
    <n v="599"/>
    <s v="$1411"/>
    <x v="25"/>
    <x v="4"/>
    <s v="Alicia Flynn"/>
    <s v="Online Pharmacy"/>
    <n v="1411"/>
    <n v="2.35559265442404"/>
    <m/>
    <m/>
  </r>
  <r>
    <x v="4"/>
    <s v="Company W"/>
    <s v="Cream"/>
    <s v="250 mg"/>
    <n v="30"/>
    <n v="609"/>
    <s v="$25953"/>
    <x v="102"/>
    <x v="4"/>
    <s v="Felicia Wallace"/>
    <s v="Pharmacy"/>
    <n v="25953"/>
    <n v="42.615763546798028"/>
    <m/>
    <m/>
  </r>
  <r>
    <x v="0"/>
    <s v="Company V"/>
    <s v="Syrup"/>
    <s v="50 mg"/>
    <s v="10 ml"/>
    <n v="1199"/>
    <s v="$4779"/>
    <x v="206"/>
    <x v="0"/>
    <s v="Jeffrey Molina"/>
    <s v="Clinics"/>
    <n v="4779"/>
    <n v="3.9858215179316097"/>
    <m/>
    <m/>
  </r>
  <r>
    <x v="1"/>
    <s v="Company Z"/>
    <s v="Syrup"/>
    <s v="50 mg"/>
    <s v="50 g"/>
    <n v="1238"/>
    <s v="$30313"/>
    <x v="81"/>
    <x v="0"/>
    <s v="Dustin Stephenson"/>
    <s v="Hospitals"/>
    <n v="30313"/>
    <n v="24.485460420032311"/>
    <m/>
    <m/>
  </r>
  <r>
    <x v="0"/>
    <s v="Company X"/>
    <s v="Cream"/>
    <s v="10 mg"/>
    <n v="60"/>
    <n v="354"/>
    <s v="$11544"/>
    <x v="176"/>
    <x v="0"/>
    <s v="Autumn Francis"/>
    <s v="Pharmacy"/>
    <n v="11544"/>
    <n v="32.610169491525426"/>
    <m/>
    <m/>
  </r>
  <r>
    <x v="4"/>
    <s v="Company V"/>
    <s v="Cream"/>
    <s v="50 mg"/>
    <s v="10 ml"/>
    <n v="489"/>
    <s v="$48883"/>
    <x v="207"/>
    <x v="0"/>
    <s v="Audrey Pennington"/>
    <s v="Online Pharmacy"/>
    <n v="48883"/>
    <n v="99.965235173824126"/>
    <m/>
    <m/>
  </r>
  <r>
    <x v="3"/>
    <s v="Company Z"/>
    <s v="Tablet"/>
    <s v="500 mg"/>
    <s v="10 ml"/>
    <n v="1042"/>
    <s v="$34649"/>
    <x v="14"/>
    <x v="4"/>
    <s v="Thomas Chapman"/>
    <s v="Online Pharmacy"/>
    <n v="34649"/>
    <n v="33.252399232245679"/>
    <m/>
    <m/>
  </r>
  <r>
    <x v="0"/>
    <s v="Company Z"/>
    <s v="Capsule"/>
    <s v="100 mg/ml"/>
    <n v="60"/>
    <n v="392"/>
    <s v="$33170"/>
    <x v="85"/>
    <x v="3"/>
    <s v="David Johnson"/>
    <s v="Pharmacy"/>
    <n v="33170"/>
    <n v="84.617346938775512"/>
    <m/>
    <m/>
  </r>
  <r>
    <x v="4"/>
    <s v="Company Y"/>
    <s v="Injection"/>
    <s v="500 mg"/>
    <s v="100 ml"/>
    <n v="786"/>
    <s v="$22000"/>
    <x v="208"/>
    <x v="2"/>
    <s v="Donna Lucas"/>
    <s v="Online Pharmacy"/>
    <n v="22000"/>
    <n v="27.989821882951652"/>
    <m/>
    <m/>
  </r>
  <r>
    <x v="3"/>
    <s v="Company V"/>
    <s v="Tablet"/>
    <s v="50 mg"/>
    <s v="100 ml"/>
    <n v="1347"/>
    <s v="$29744"/>
    <x v="209"/>
    <x v="0"/>
    <s v="Michael Robinson"/>
    <s v="Hospitals"/>
    <n v="29744"/>
    <n v="22.081662954714179"/>
    <m/>
    <m/>
  </r>
  <r>
    <x v="0"/>
    <s v="Company Y"/>
    <s v="Syrup"/>
    <s v="50 mg"/>
    <n v="60"/>
    <n v="499"/>
    <s v="$14526"/>
    <x v="210"/>
    <x v="4"/>
    <s v="Austin Martin"/>
    <s v="Hospitals"/>
    <n v="14526"/>
    <n v="29.110220440881765"/>
    <m/>
    <m/>
  </r>
  <r>
    <x v="1"/>
    <s v="Company Y"/>
    <s v="Capsule"/>
    <s v="50 mg"/>
    <n v="60"/>
    <n v="489"/>
    <s v="$25559"/>
    <x v="211"/>
    <x v="0"/>
    <s v="Julie Ferguson"/>
    <s v="Online Pharmacy"/>
    <n v="25559"/>
    <n v="52.267893660531698"/>
    <m/>
    <m/>
  </r>
  <r>
    <x v="1"/>
    <s v="Company W"/>
    <s v="Capsule"/>
    <s v="250 mg"/>
    <n v="30"/>
    <n v="963"/>
    <s v="$24965"/>
    <x v="212"/>
    <x v="3"/>
    <s v="Justin Coffey"/>
    <s v="Hospitals"/>
    <n v="24965"/>
    <n v="25.924195223260643"/>
    <m/>
    <m/>
  </r>
  <r>
    <x v="3"/>
    <s v="Company Y"/>
    <s v="Cream"/>
    <s v="250 mg"/>
    <s v="100 ml"/>
    <n v="1650"/>
    <s v="$36514"/>
    <x v="213"/>
    <x v="3"/>
    <s v="Daniel Kelly"/>
    <s v="Hospitals"/>
    <n v="36514"/>
    <n v="22.129696969696969"/>
    <m/>
    <m/>
  </r>
  <r>
    <x v="0"/>
    <s v="Company Z"/>
    <s v="Capsule"/>
    <s v="500 mg"/>
    <s v="100 ml"/>
    <n v="1826"/>
    <s v="$46602"/>
    <x v="214"/>
    <x v="2"/>
    <s v="Leah Miller"/>
    <s v="Supermarkets"/>
    <n v="46602"/>
    <n v="25.521358159912378"/>
    <m/>
    <m/>
  </r>
  <r>
    <x v="4"/>
    <s v="Company V"/>
    <s v="Cream"/>
    <s v="500 mg"/>
    <n v="60"/>
    <n v="608"/>
    <s v="$28326"/>
    <x v="28"/>
    <x v="4"/>
    <s v="Amy Jackson"/>
    <s v="Clinics"/>
    <n v="28326"/>
    <n v="46.588815789473685"/>
    <m/>
    <m/>
  </r>
  <r>
    <x v="2"/>
    <s v="Company Y"/>
    <s v="Tablet"/>
    <s v="500 mg"/>
    <s v="100 ml"/>
    <n v="297"/>
    <s v="$20215"/>
    <x v="68"/>
    <x v="3"/>
    <s v="Brian Dennis"/>
    <s v="Pharmacy"/>
    <n v="20215"/>
    <n v="68.063973063973066"/>
    <m/>
    <m/>
  </r>
  <r>
    <x v="2"/>
    <s v="Company Y"/>
    <s v="Cream"/>
    <s v="250 mg"/>
    <n v="60"/>
    <n v="1095"/>
    <s v="$23543"/>
    <x v="215"/>
    <x v="0"/>
    <s v="Elizabeth Branch"/>
    <s v="Clinics"/>
    <n v="23543"/>
    <n v="21.500456621004567"/>
    <m/>
    <m/>
  </r>
  <r>
    <x v="4"/>
    <s v="Company Z"/>
    <s v="Tablet"/>
    <s v="10 mg"/>
    <n v="30"/>
    <n v="1585"/>
    <s v="$34365"/>
    <x v="122"/>
    <x v="3"/>
    <s v="Rebecca Baker"/>
    <s v="Hospitals"/>
    <n v="34365"/>
    <n v="21.681388012618296"/>
    <m/>
    <m/>
  </r>
  <r>
    <x v="1"/>
    <s v="Company W"/>
    <s v="Injection"/>
    <s v="500 mg"/>
    <s v="50 g"/>
    <n v="749"/>
    <s v="$13462"/>
    <x v="133"/>
    <x v="3"/>
    <s v="Ryan Beck"/>
    <s v="Clinics"/>
    <n v="13462"/>
    <n v="17.973297730307078"/>
    <m/>
    <m/>
  </r>
  <r>
    <x v="0"/>
    <s v="Company X"/>
    <s v="Capsule"/>
    <s v="10 mg"/>
    <s v="50 g"/>
    <n v="1666"/>
    <s v="$32893"/>
    <x v="154"/>
    <x v="4"/>
    <s v="Annette Bartlett"/>
    <s v="Clinics"/>
    <n v="32893"/>
    <n v="19.743697478991596"/>
    <m/>
    <m/>
  </r>
  <r>
    <x v="3"/>
    <s v="Company W"/>
    <s v="Cream"/>
    <s v="50 mg"/>
    <n v="60"/>
    <n v="371"/>
    <s v="$25596"/>
    <x v="216"/>
    <x v="3"/>
    <s v="Cameron Garcia"/>
    <s v="Online Pharmacy"/>
    <n v="25596"/>
    <n v="68.991913746630729"/>
    <m/>
    <m/>
  </r>
  <r>
    <x v="4"/>
    <s v="Company Y"/>
    <s v="Syrup"/>
    <s v="250 mg"/>
    <s v="100 ml"/>
    <n v="1663"/>
    <s v="$20214"/>
    <x v="217"/>
    <x v="0"/>
    <s v="Carlos Sawyer"/>
    <s v="Hospitals"/>
    <n v="20214"/>
    <n v="12.155141310883945"/>
    <m/>
    <m/>
  </r>
  <r>
    <x v="1"/>
    <s v="Company Z"/>
    <s v="Tablet"/>
    <s v="500 mg"/>
    <s v="50 g"/>
    <n v="698"/>
    <s v="$1522"/>
    <x v="218"/>
    <x v="4"/>
    <s v="Anthony Bell"/>
    <s v="Hospitals"/>
    <n v="1522"/>
    <n v="2.1805157593123208"/>
    <m/>
    <m/>
  </r>
  <r>
    <x v="0"/>
    <s v="Company Y"/>
    <s v="Tablet"/>
    <s v="500 mg"/>
    <s v="50 g"/>
    <n v="1595"/>
    <s v="$16585"/>
    <x v="14"/>
    <x v="2"/>
    <s v="Adam Brown"/>
    <s v="Online Pharmacy"/>
    <n v="16585"/>
    <n v="10.398119122257054"/>
    <m/>
    <m/>
  </r>
  <r>
    <x v="1"/>
    <s v="Company Y"/>
    <s v="Injection"/>
    <s v="100 mg/ml"/>
    <n v="60"/>
    <n v="1474"/>
    <s v="$32199"/>
    <x v="110"/>
    <x v="0"/>
    <s v="Phyllis Robertson"/>
    <s v="Clinics"/>
    <n v="32199"/>
    <n v="21.844640434192673"/>
    <m/>
    <m/>
  </r>
  <r>
    <x v="0"/>
    <s v="Company V"/>
    <s v="Cream"/>
    <s v="250 mg"/>
    <s v="10 ml"/>
    <n v="1611"/>
    <s v="$37594"/>
    <x v="206"/>
    <x v="4"/>
    <s v="Justin Hamilton"/>
    <s v="Pharmacy"/>
    <n v="37594"/>
    <n v="23.335816263190566"/>
    <m/>
    <m/>
  </r>
  <r>
    <x v="1"/>
    <s v="Company V"/>
    <s v="Injection"/>
    <s v="10 mg"/>
    <s v="10 ml"/>
    <n v="1876"/>
    <s v="$26559"/>
    <x v="163"/>
    <x v="0"/>
    <s v="Lucas Dunn"/>
    <s v="Online Pharmacy"/>
    <n v="26559"/>
    <n v="14.15724946695096"/>
    <m/>
    <m/>
  </r>
  <r>
    <x v="2"/>
    <s v="Company Z"/>
    <s v="Cream"/>
    <s v="500 mg"/>
    <n v="60"/>
    <n v="939"/>
    <s v="$22379"/>
    <x v="219"/>
    <x v="2"/>
    <s v="Aaron Douglas"/>
    <s v="Online Pharmacy"/>
    <n v="22379"/>
    <n v="23.83280085197018"/>
    <m/>
    <m/>
  </r>
  <r>
    <x v="3"/>
    <s v="Company V"/>
    <s v="Cream"/>
    <s v="50 mg"/>
    <n v="60"/>
    <n v="1075"/>
    <s v="$41442"/>
    <x v="193"/>
    <x v="3"/>
    <s v="Gregory Ross"/>
    <s v="Hospitals"/>
    <n v="41442"/>
    <n v="38.550697674418608"/>
    <m/>
    <m/>
  </r>
  <r>
    <x v="0"/>
    <s v="Company Y"/>
    <s v="Syrup"/>
    <s v="10 mg"/>
    <n v="30"/>
    <n v="868"/>
    <s v="$41228"/>
    <x v="68"/>
    <x v="3"/>
    <s v="Corey Wong"/>
    <s v="Online Pharmacy"/>
    <n v="41228"/>
    <n v="47.497695852534562"/>
    <m/>
    <m/>
  </r>
  <r>
    <x v="1"/>
    <s v="Company X"/>
    <s v="Cream"/>
    <s v="50 mg"/>
    <s v="10 ml"/>
    <n v="1135"/>
    <s v="$42632"/>
    <x v="61"/>
    <x v="1"/>
    <s v="Bobby Price"/>
    <s v="Online Pharmacy"/>
    <n v="42632"/>
    <n v="37.561233480176213"/>
    <m/>
    <m/>
  </r>
  <r>
    <x v="1"/>
    <s v="Company W"/>
    <s v="Capsule"/>
    <s v="250 mg"/>
    <n v="30"/>
    <n v="1780"/>
    <s v="$28351"/>
    <x v="220"/>
    <x v="2"/>
    <s v="Nicole Jones"/>
    <s v="Supermarkets"/>
    <n v="28351"/>
    <n v="15.927528089887641"/>
    <m/>
    <m/>
  </r>
  <r>
    <x v="4"/>
    <s v="Company V"/>
    <s v="Injection"/>
    <s v="100 mg/ml"/>
    <s v="10 ml"/>
    <n v="833"/>
    <s v="$42915"/>
    <x v="130"/>
    <x v="2"/>
    <s v="Bonnie Thompson"/>
    <s v="Clinics"/>
    <n v="42915"/>
    <n v="51.518607442977192"/>
    <m/>
    <m/>
  </r>
  <r>
    <x v="0"/>
    <s v="Company Z"/>
    <s v="Syrup"/>
    <s v="250 mg"/>
    <s v="10 ml"/>
    <n v="1134"/>
    <s v="$26634"/>
    <x v="61"/>
    <x v="2"/>
    <s v="Dawn Rogers"/>
    <s v="Hospitals"/>
    <n v="26634"/>
    <n v="23.486772486772487"/>
    <m/>
    <m/>
  </r>
  <r>
    <x v="3"/>
    <s v="Company Y"/>
    <s v="Cream"/>
    <s v="50 mg"/>
    <s v="100 ml"/>
    <n v="1706"/>
    <s v="$21681"/>
    <x v="218"/>
    <x v="3"/>
    <s v="Robert Kelley"/>
    <s v="Hospitals"/>
    <n v="21681"/>
    <n v="12.708675263774913"/>
    <m/>
    <m/>
  </r>
  <r>
    <x v="2"/>
    <s v="Company Z"/>
    <s v="Cream"/>
    <s v="250 mg"/>
    <s v="10 ml"/>
    <n v="1395"/>
    <s v="$22835"/>
    <x v="58"/>
    <x v="3"/>
    <s v="Anna Jordan"/>
    <s v="Supermarkets"/>
    <n v="22835"/>
    <n v="16.369175627240143"/>
    <m/>
    <m/>
  </r>
  <r>
    <x v="1"/>
    <s v="Company X"/>
    <s v="Tablet"/>
    <s v="10 mg"/>
    <s v="100 ml"/>
    <n v="1693"/>
    <s v="$31240"/>
    <x v="213"/>
    <x v="0"/>
    <s v="Seth Jenkins"/>
    <s v="Online Pharmacy"/>
    <n v="31240"/>
    <n v="18.452451269935025"/>
    <m/>
    <m/>
  </r>
  <r>
    <x v="1"/>
    <s v="Company Y"/>
    <s v="Syrup"/>
    <s v="10 mg"/>
    <n v="30"/>
    <n v="1549"/>
    <s v="$9455"/>
    <x v="221"/>
    <x v="3"/>
    <s v="Tiffany Brown"/>
    <s v="Pharmacy"/>
    <n v="9455"/>
    <n v="6.1039380245319563"/>
    <m/>
    <m/>
  </r>
  <r>
    <x v="1"/>
    <s v="Company X"/>
    <s v="Cream"/>
    <s v="10 mg"/>
    <s v="10 ml"/>
    <n v="100"/>
    <s v="$32910"/>
    <x v="222"/>
    <x v="4"/>
    <s v="Michael Ortiz"/>
    <s v="Hospitals"/>
    <n v="32910"/>
    <n v="329.1"/>
    <m/>
    <m/>
  </r>
  <r>
    <x v="0"/>
    <s v="Company V"/>
    <s v="Cream"/>
    <s v="50 mg"/>
    <s v="50 g"/>
    <n v="826"/>
    <s v="$24350"/>
    <x v="155"/>
    <x v="4"/>
    <s v="Lauren Brown"/>
    <s v="Clinics"/>
    <n v="24350"/>
    <n v="29.479418886198548"/>
    <m/>
    <m/>
  </r>
  <r>
    <x v="2"/>
    <s v="Company W"/>
    <s v="Cream"/>
    <s v="500 mg"/>
    <s v="50 g"/>
    <n v="1308"/>
    <s v="$17828"/>
    <x v="115"/>
    <x v="2"/>
    <s v="Barbara Richard"/>
    <s v="Supermarkets"/>
    <n v="17828"/>
    <n v="13.629969418960245"/>
    <m/>
    <m/>
  </r>
  <r>
    <x v="0"/>
    <s v="Company Y"/>
    <s v="Capsule"/>
    <s v="500 mg"/>
    <s v="100 ml"/>
    <n v="1691"/>
    <s v="$37249"/>
    <x v="196"/>
    <x v="4"/>
    <s v="Haley Maldonado"/>
    <s v="Supermarkets"/>
    <n v="37249"/>
    <n v="22.027794204612654"/>
    <m/>
    <m/>
  </r>
  <r>
    <x v="0"/>
    <s v="Company Z"/>
    <s v="Syrup"/>
    <s v="10 mg"/>
    <s v="10 ml"/>
    <n v="1028"/>
    <s v="$7222"/>
    <x v="208"/>
    <x v="1"/>
    <s v="Timothy Crosby"/>
    <s v="Supermarkets"/>
    <n v="7222"/>
    <n v="7.0252918287937742"/>
    <m/>
    <m/>
  </r>
  <r>
    <x v="4"/>
    <s v="Company Y"/>
    <s v="Cream"/>
    <s v="100 mg/ml"/>
    <n v="30"/>
    <n v="1134"/>
    <s v="$5856"/>
    <x v="82"/>
    <x v="4"/>
    <s v="Robin Benton"/>
    <s v="Hospitals"/>
    <n v="5856"/>
    <n v="5.1640211640211637"/>
    <m/>
    <m/>
  </r>
  <r>
    <x v="3"/>
    <s v="Company V"/>
    <s v="Cream"/>
    <s v="250 mg"/>
    <s v="50 g"/>
    <n v="1503"/>
    <s v="$19148"/>
    <x v="213"/>
    <x v="2"/>
    <s v="Mr. David Bennett"/>
    <s v="Pharmacy"/>
    <n v="19148"/>
    <n v="12.739853626081171"/>
    <m/>
    <m/>
  </r>
  <r>
    <x v="3"/>
    <s v="Company W"/>
    <s v="Tablet"/>
    <s v="500 mg"/>
    <s v="10 ml"/>
    <n v="1509"/>
    <s v="$30615"/>
    <x v="217"/>
    <x v="3"/>
    <s v="Alexander Maynard"/>
    <s v="Hospitals"/>
    <n v="30615"/>
    <n v="20.2882703777336"/>
    <m/>
    <m/>
  </r>
  <r>
    <x v="4"/>
    <s v="Company V"/>
    <s v="Syrup"/>
    <s v="10 mg"/>
    <s v="10 ml"/>
    <n v="578"/>
    <s v="$33113"/>
    <x v="223"/>
    <x v="2"/>
    <s v="Julia Stevens"/>
    <s v="Clinics"/>
    <n v="33113"/>
    <n v="57.288927335640139"/>
    <m/>
    <m/>
  </r>
  <r>
    <x v="2"/>
    <s v="Company V"/>
    <s v="Cream"/>
    <s v="250 mg"/>
    <s v="10 ml"/>
    <n v="1195"/>
    <s v="$42794"/>
    <x v="186"/>
    <x v="4"/>
    <s v="Kimberly Stewart"/>
    <s v="Online Pharmacy"/>
    <n v="42794"/>
    <n v="35.81087866108787"/>
    <m/>
    <m/>
  </r>
  <r>
    <x v="4"/>
    <s v="Company Y"/>
    <s v="Injection"/>
    <s v="50 mg"/>
    <n v="60"/>
    <n v="485"/>
    <s v="$29314"/>
    <x v="216"/>
    <x v="4"/>
    <s v="Rachel Allen"/>
    <s v="Pharmacy"/>
    <n v="29314"/>
    <n v="60.44123711340206"/>
    <m/>
    <m/>
  </r>
  <r>
    <x v="1"/>
    <s v="Company Z"/>
    <s v="Tablet"/>
    <s v="100 mg/ml"/>
    <n v="60"/>
    <n v="819"/>
    <s v="$47811"/>
    <x v="224"/>
    <x v="0"/>
    <s v="Tracy Erickson"/>
    <s v="Supermarkets"/>
    <n v="47811"/>
    <n v="58.37728937728938"/>
    <m/>
    <m/>
  </r>
  <r>
    <x v="2"/>
    <s v="Company X"/>
    <s v="Syrup"/>
    <s v="100 mg/ml"/>
    <s v="100 ml"/>
    <n v="1654"/>
    <s v="$16660"/>
    <x v="225"/>
    <x v="0"/>
    <s v="William Parks"/>
    <s v="Pharmacy"/>
    <n v="16660"/>
    <n v="10.07255139056832"/>
    <m/>
    <m/>
  </r>
  <r>
    <x v="4"/>
    <s v="Company W"/>
    <s v="Capsule"/>
    <s v="500 mg"/>
    <n v="60"/>
    <n v="1957"/>
    <s v="$32269"/>
    <x v="226"/>
    <x v="3"/>
    <s v="Paul Morgan"/>
    <s v="Online Pharmacy"/>
    <n v="32269"/>
    <n v="16.489013796627493"/>
    <m/>
    <m/>
  </r>
  <r>
    <x v="1"/>
    <s v="Company Z"/>
    <s v="Cream"/>
    <s v="50 mg"/>
    <n v="60"/>
    <n v="799"/>
    <s v="$10708"/>
    <x v="227"/>
    <x v="3"/>
    <s v="Jessica Vincent"/>
    <s v="Hospitals"/>
    <n v="10708"/>
    <n v="13.401752190237797"/>
    <m/>
    <m/>
  </r>
  <r>
    <x v="2"/>
    <s v="Company V"/>
    <s v="Cream"/>
    <s v="10 mg"/>
    <s v="100 ml"/>
    <n v="1532"/>
    <s v="$5489"/>
    <x v="83"/>
    <x v="4"/>
    <s v="Elizabeth Ray"/>
    <s v="Clinics"/>
    <n v="5489"/>
    <n v="3.5828981723237598"/>
    <m/>
    <m/>
  </r>
  <r>
    <x v="3"/>
    <s v="Company W"/>
    <s v="Injection"/>
    <s v="250 mg"/>
    <s v="100 ml"/>
    <n v="1786"/>
    <s v="$11345"/>
    <x v="39"/>
    <x v="1"/>
    <s v="James Graham"/>
    <s v="Hospitals"/>
    <n v="11345"/>
    <n v="6.3521836506159017"/>
    <m/>
    <m/>
  </r>
  <r>
    <x v="0"/>
    <s v="Company Z"/>
    <s v="Syrup"/>
    <s v="50 mg"/>
    <s v="100 ml"/>
    <n v="1927"/>
    <s v="$8953"/>
    <x v="228"/>
    <x v="2"/>
    <s v="Darrell Kelly"/>
    <s v="Hospitals"/>
    <n v="8953"/>
    <n v="4.6460819927348211"/>
    <m/>
    <m/>
  </r>
  <r>
    <x v="4"/>
    <s v="Company W"/>
    <s v="Capsule"/>
    <s v="10 mg"/>
    <n v="60"/>
    <n v="1475"/>
    <s v="$27251"/>
    <x v="229"/>
    <x v="1"/>
    <s v="Richard Thomas"/>
    <s v="Online Pharmacy"/>
    <n v="27251"/>
    <n v="18.475254237288137"/>
    <m/>
    <m/>
  </r>
  <r>
    <x v="2"/>
    <s v="Company X"/>
    <s v="Capsule"/>
    <s v="100 mg/ml"/>
    <s v="10 ml"/>
    <n v="290"/>
    <s v="$16582"/>
    <x v="141"/>
    <x v="2"/>
    <s v="Laura Gregory"/>
    <s v="Clinics"/>
    <n v="16582"/>
    <n v="57.179310344827584"/>
    <m/>
    <m/>
  </r>
  <r>
    <x v="2"/>
    <s v="Company X"/>
    <s v="Tablet"/>
    <s v="50 mg"/>
    <n v="60"/>
    <n v="677"/>
    <s v="$20916"/>
    <x v="23"/>
    <x v="2"/>
    <s v="David Castro"/>
    <s v="Online Pharmacy"/>
    <n v="20916"/>
    <n v="30.89512555391433"/>
    <m/>
    <m/>
  </r>
  <r>
    <x v="0"/>
    <s v="Company Y"/>
    <s v="Injection"/>
    <s v="50 mg"/>
    <s v="10 ml"/>
    <n v="1728"/>
    <s v="$30905"/>
    <x v="138"/>
    <x v="4"/>
    <s v="Jessica Webster"/>
    <s v="Hospitals"/>
    <n v="30905"/>
    <n v="17.884837962962962"/>
    <m/>
    <m/>
  </r>
  <r>
    <x v="4"/>
    <s v="Company Y"/>
    <s v="Capsule"/>
    <s v="50 mg"/>
    <s v="10 ml"/>
    <n v="709"/>
    <s v="$16636"/>
    <x v="87"/>
    <x v="4"/>
    <s v="Cristina Stevens"/>
    <s v="Clinics"/>
    <n v="16636"/>
    <n v="23.464033850493653"/>
    <m/>
    <m/>
  </r>
  <r>
    <x v="3"/>
    <s v="Company Y"/>
    <s v="Tablet"/>
    <s v="10 mg"/>
    <n v="60"/>
    <n v="1660"/>
    <s v="$9172"/>
    <x v="230"/>
    <x v="4"/>
    <s v="Lauren Bryant"/>
    <s v="Supermarkets"/>
    <n v="9172"/>
    <n v="5.5253012048192769"/>
    <m/>
    <m/>
  </r>
  <r>
    <x v="2"/>
    <s v="Company Z"/>
    <s v="Capsule"/>
    <s v="500 mg"/>
    <n v="60"/>
    <n v="1530"/>
    <s v="$15055"/>
    <x v="73"/>
    <x v="2"/>
    <s v="Adam Shelton"/>
    <s v="Supermarkets"/>
    <n v="15055"/>
    <n v="9.8398692810457522"/>
    <m/>
    <m/>
  </r>
  <r>
    <x v="0"/>
    <s v="Company W"/>
    <s v="Tablet"/>
    <s v="500 mg"/>
    <n v="60"/>
    <n v="1804"/>
    <s v="$17065"/>
    <x v="231"/>
    <x v="2"/>
    <s v="Ashley Pittman"/>
    <s v="Hospitals"/>
    <n v="17065"/>
    <n v="9.4595343680709529"/>
    <m/>
    <m/>
  </r>
  <r>
    <x v="2"/>
    <s v="Company V"/>
    <s v="Tablet"/>
    <s v="10 mg"/>
    <s v="10 ml"/>
    <n v="847"/>
    <s v="$20074"/>
    <x v="232"/>
    <x v="4"/>
    <s v="Miss Amy Perry"/>
    <s v="Pharmacy"/>
    <n v="20074"/>
    <n v="23.700118063754427"/>
    <m/>
    <m/>
  </r>
  <r>
    <x v="4"/>
    <s v="Company Z"/>
    <s v="Injection"/>
    <s v="10 mg"/>
    <s v="50 g"/>
    <n v="1944"/>
    <s v="$25684"/>
    <x v="124"/>
    <x v="2"/>
    <s v="Johnny Kim"/>
    <s v="Pharmacy"/>
    <n v="25684"/>
    <n v="13.2119341563786"/>
    <m/>
    <m/>
  </r>
  <r>
    <x v="0"/>
    <s v="Company Y"/>
    <s v="Capsule"/>
    <s v="500 mg"/>
    <s v="100 ml"/>
    <n v="1882"/>
    <s v="$14779"/>
    <x v="2"/>
    <x v="3"/>
    <s v="Yvonne Rogers"/>
    <s v="Pharmacy"/>
    <n v="14779"/>
    <n v="7.8528161530286926"/>
    <m/>
    <m/>
  </r>
  <r>
    <x v="2"/>
    <s v="Company W"/>
    <s v="Capsule"/>
    <s v="500 mg"/>
    <s v="50 g"/>
    <n v="377"/>
    <s v="$20905"/>
    <x v="182"/>
    <x v="3"/>
    <s v="Mr. Kevin Duffy"/>
    <s v="Hospitals"/>
    <n v="20905"/>
    <n v="55.450928381962868"/>
    <m/>
    <m/>
  </r>
  <r>
    <x v="1"/>
    <s v="Company W"/>
    <s v="Injection"/>
    <s v="100 mg/ml"/>
    <s v="50 g"/>
    <n v="1784"/>
    <s v="$11761"/>
    <x v="133"/>
    <x v="2"/>
    <s v="Angela Brown"/>
    <s v="Pharmacy"/>
    <n v="11761"/>
    <n v="6.5924887892376685"/>
    <m/>
    <m/>
  </r>
  <r>
    <x v="2"/>
    <s v="Company X"/>
    <s v="Injection"/>
    <s v="50 mg"/>
    <s v="100 ml"/>
    <n v="1414"/>
    <s v="$29966"/>
    <x v="158"/>
    <x v="3"/>
    <s v="Lauren Gilbert"/>
    <s v="Clinics"/>
    <n v="29966"/>
    <n v="21.192362093352191"/>
    <m/>
    <m/>
  </r>
  <r>
    <x v="0"/>
    <s v="Company Z"/>
    <s v="Syrup"/>
    <s v="100 mg/ml"/>
    <n v="60"/>
    <n v="1782"/>
    <s v="$32047"/>
    <x v="98"/>
    <x v="3"/>
    <s v="Michael Solis"/>
    <s v="Hospitals"/>
    <n v="32047"/>
    <n v="17.983726150392815"/>
    <m/>
    <m/>
  </r>
  <r>
    <x v="0"/>
    <s v="Company V"/>
    <s v="Syrup"/>
    <s v="100 mg/ml"/>
    <n v="30"/>
    <n v="221"/>
    <s v="$40972"/>
    <x v="183"/>
    <x v="3"/>
    <s v="Andre Skinner"/>
    <s v="Clinics"/>
    <n v="40972"/>
    <n v="185.39366515837105"/>
    <m/>
    <m/>
  </r>
  <r>
    <x v="2"/>
    <s v="Company W"/>
    <s v="Syrup"/>
    <s v="10 mg"/>
    <n v="60"/>
    <n v="1221"/>
    <s v="$15799"/>
    <x v="39"/>
    <x v="4"/>
    <s v="Jamie Martin"/>
    <s v="Clinics"/>
    <n v="15799"/>
    <n v="12.939393939393939"/>
    <m/>
    <m/>
  </r>
  <r>
    <x v="2"/>
    <s v="Company X"/>
    <s v="Cream"/>
    <s v="500 mg"/>
    <n v="60"/>
    <n v="1461"/>
    <s v="$28440"/>
    <x v="233"/>
    <x v="1"/>
    <s v="Allison Alvarado"/>
    <s v="Supermarkets"/>
    <n v="28440"/>
    <n v="19.466119096509239"/>
    <m/>
    <m/>
  </r>
  <r>
    <x v="4"/>
    <s v="Company Z"/>
    <s v="Syrup"/>
    <s v="100 mg/ml"/>
    <s v="100 ml"/>
    <n v="1621"/>
    <s v="$22584"/>
    <x v="4"/>
    <x v="2"/>
    <s v="Amy Anderson"/>
    <s v="Online Pharmacy"/>
    <n v="22584"/>
    <n v="13.932140653917335"/>
    <m/>
    <m/>
  </r>
  <r>
    <x v="3"/>
    <s v="Company Y"/>
    <s v="Capsule"/>
    <s v="50 mg"/>
    <s v="100 ml"/>
    <n v="587"/>
    <s v="$49864"/>
    <x v="234"/>
    <x v="1"/>
    <s v="Ariel Brown"/>
    <s v="Supermarkets"/>
    <n v="49864"/>
    <n v="84.947189097103916"/>
    <m/>
    <m/>
  </r>
  <r>
    <x v="0"/>
    <s v="Company Y"/>
    <s v="Injection"/>
    <s v="10 mg"/>
    <s v="100 ml"/>
    <n v="902"/>
    <s v="$15266"/>
    <x v="235"/>
    <x v="0"/>
    <s v="John Newman"/>
    <s v="Clinics"/>
    <n v="15266"/>
    <n v="16.924611973392462"/>
    <m/>
    <m/>
  </r>
  <r>
    <x v="2"/>
    <s v="Company Z"/>
    <s v="Cream"/>
    <s v="10 mg"/>
    <s v="10 ml"/>
    <n v="447"/>
    <s v="$5128"/>
    <x v="236"/>
    <x v="2"/>
    <s v="Jon Richardson"/>
    <s v="Supermarkets"/>
    <n v="5128"/>
    <n v="11.472035794183444"/>
    <m/>
    <m/>
  </r>
  <r>
    <x v="3"/>
    <s v="Company X"/>
    <s v="Injection"/>
    <s v="100 mg/ml"/>
    <n v="60"/>
    <n v="646"/>
    <s v="$39113"/>
    <x v="214"/>
    <x v="0"/>
    <s v="Sarah Burnett"/>
    <s v="Pharmacy"/>
    <n v="39113"/>
    <n v="60.546439628482972"/>
    <m/>
    <m/>
  </r>
  <r>
    <x v="4"/>
    <s v="Company V"/>
    <s v="Tablet"/>
    <s v="10 mg"/>
    <s v="100 ml"/>
    <n v="1135"/>
    <s v="$12514"/>
    <x v="84"/>
    <x v="2"/>
    <s v="Jason Bradley"/>
    <s v="Online Pharmacy"/>
    <n v="12514"/>
    <n v="11.025550660792952"/>
    <m/>
    <m/>
  </r>
  <r>
    <x v="0"/>
    <s v="Company X"/>
    <s v="Capsule"/>
    <s v="250 mg"/>
    <s v="50 g"/>
    <n v="1494"/>
    <s v="$45452"/>
    <x v="167"/>
    <x v="1"/>
    <s v="Brendan Harrington"/>
    <s v="Clinics"/>
    <n v="45452"/>
    <n v="30.42302543507363"/>
    <m/>
    <m/>
  </r>
  <r>
    <x v="2"/>
    <s v="Company X"/>
    <s v="Tablet"/>
    <s v="50 mg"/>
    <s v="50 g"/>
    <n v="279"/>
    <s v="$32754"/>
    <x v="237"/>
    <x v="1"/>
    <s v="Danny Bernard"/>
    <s v="Hospitals"/>
    <n v="32754"/>
    <n v="117.39784946236558"/>
    <m/>
    <m/>
  </r>
  <r>
    <x v="1"/>
    <s v="Company V"/>
    <s v="Syrup"/>
    <s v="50 mg"/>
    <s v="50 g"/>
    <n v="302"/>
    <s v="$20937"/>
    <x v="238"/>
    <x v="0"/>
    <s v="Timothy Villanueva"/>
    <s v="Supermarkets"/>
    <n v="20937"/>
    <n v="69.327814569536429"/>
    <m/>
    <m/>
  </r>
  <r>
    <x v="4"/>
    <s v="Company Z"/>
    <s v="Injection"/>
    <s v="10 mg"/>
    <s v="10 ml"/>
    <n v="1306"/>
    <s v="$35777"/>
    <x v="150"/>
    <x v="3"/>
    <s v="Jonathan Brown"/>
    <s v="Supermarkets"/>
    <n v="35777"/>
    <n v="27.394333843797856"/>
    <m/>
    <m/>
  </r>
  <r>
    <x v="4"/>
    <s v="Company W"/>
    <s v="Capsule"/>
    <s v="500 mg"/>
    <s v="50 g"/>
    <n v="1372"/>
    <s v="$47220"/>
    <x v="202"/>
    <x v="4"/>
    <s v="Amy Adams"/>
    <s v="Clinics"/>
    <n v="47220"/>
    <n v="34.416909620991255"/>
    <m/>
    <m/>
  </r>
  <r>
    <x v="2"/>
    <s v="Company X"/>
    <s v="Tablet"/>
    <s v="10 mg"/>
    <n v="60"/>
    <n v="873"/>
    <s v="$28524"/>
    <x v="165"/>
    <x v="2"/>
    <s v="Lisa Williams"/>
    <s v="Hospitals"/>
    <n v="28524"/>
    <n v="32.673539518900341"/>
    <m/>
    <m/>
  </r>
  <r>
    <x v="2"/>
    <s v="Company X"/>
    <s v="Tablet"/>
    <s v="10 mg"/>
    <n v="60"/>
    <n v="1075"/>
    <s v="$4900"/>
    <x v="239"/>
    <x v="2"/>
    <s v="Casey Coleman"/>
    <s v="Supermarkets"/>
    <n v="4900"/>
    <n v="4.558139534883721"/>
    <m/>
    <m/>
  </r>
  <r>
    <x v="3"/>
    <s v="Company Y"/>
    <s v="Cream"/>
    <s v="500 mg"/>
    <s v="10 ml"/>
    <n v="862"/>
    <s v="$17179"/>
    <x v="49"/>
    <x v="3"/>
    <s v="Samuel Lopez"/>
    <s v="Clinics"/>
    <n v="17179"/>
    <n v="19.929234338747101"/>
    <m/>
    <m/>
  </r>
  <r>
    <x v="2"/>
    <s v="Company W"/>
    <s v="Syrup"/>
    <s v="100 mg/ml"/>
    <s v="10 ml"/>
    <n v="1872"/>
    <s v="$42474"/>
    <x v="240"/>
    <x v="2"/>
    <s v="Joseph Johnson"/>
    <s v="Pharmacy"/>
    <n v="42474"/>
    <n v="22.689102564102566"/>
    <m/>
    <m/>
  </r>
  <r>
    <x v="1"/>
    <s v="Company V"/>
    <s v="Syrup"/>
    <s v="10 mg"/>
    <s v="50 g"/>
    <n v="1041"/>
    <s v="$45750"/>
    <x v="69"/>
    <x v="3"/>
    <s v="Mark Reed"/>
    <s v="Hospitals"/>
    <n v="45750"/>
    <n v="43.948126801152739"/>
    <m/>
    <m/>
  </r>
  <r>
    <x v="2"/>
    <s v="Company W"/>
    <s v="Capsule"/>
    <s v="10 mg"/>
    <n v="60"/>
    <n v="149"/>
    <s v="$40553"/>
    <x v="241"/>
    <x v="3"/>
    <s v="Maurice Mcintosh"/>
    <s v="Hospitals"/>
    <n v="40553"/>
    <n v="272.16778523489933"/>
    <m/>
    <m/>
  </r>
  <r>
    <x v="2"/>
    <s v="Company X"/>
    <s v="Injection"/>
    <s v="500 mg"/>
    <n v="60"/>
    <n v="996"/>
    <s v="$6016"/>
    <x v="68"/>
    <x v="4"/>
    <s v="Ryan Cardenas"/>
    <s v="Pharmacy"/>
    <n v="6016"/>
    <n v="6.0401606425702807"/>
    <m/>
    <m/>
  </r>
  <r>
    <x v="0"/>
    <s v="Company Z"/>
    <s v="Injection"/>
    <s v="500 mg"/>
    <n v="60"/>
    <n v="1890"/>
    <s v="$35859"/>
    <x v="155"/>
    <x v="0"/>
    <s v="Rachel Robinson"/>
    <s v="Clinics"/>
    <n v="35859"/>
    <n v="18.973015873015871"/>
    <m/>
    <m/>
  </r>
  <r>
    <x v="0"/>
    <s v="Company X"/>
    <s v="Syrup"/>
    <s v="10 mg"/>
    <n v="30"/>
    <n v="770"/>
    <s v="$15607"/>
    <x v="199"/>
    <x v="1"/>
    <s v="Charles Wagner"/>
    <s v="Supermarkets"/>
    <n v="15607"/>
    <n v="20.26883116883117"/>
    <m/>
    <m/>
  </r>
  <r>
    <x v="1"/>
    <s v="Company Y"/>
    <s v="Injection"/>
    <s v="50 mg"/>
    <n v="30"/>
    <n v="727"/>
    <s v="$3436"/>
    <x v="204"/>
    <x v="3"/>
    <s v="Donna White"/>
    <s v="Online Pharmacy"/>
    <n v="3436"/>
    <n v="4.7262723521320495"/>
    <m/>
    <m/>
  </r>
  <r>
    <x v="3"/>
    <s v="Company Z"/>
    <s v="Tablet"/>
    <s v="10 mg"/>
    <s v="100 ml"/>
    <n v="190"/>
    <s v="$14001"/>
    <x v="159"/>
    <x v="3"/>
    <s v="Shane Burke"/>
    <s v="Supermarkets"/>
    <n v="14001"/>
    <n v="73.689473684210526"/>
    <m/>
    <m/>
  </r>
  <r>
    <x v="4"/>
    <s v="Company X"/>
    <s v="Cream"/>
    <s v="500 mg"/>
    <s v="10 ml"/>
    <n v="1248"/>
    <s v="$33631"/>
    <x v="167"/>
    <x v="2"/>
    <s v="Daniel Newton"/>
    <s v="Clinics"/>
    <n v="33631"/>
    <n v="26.947916666666668"/>
    <m/>
    <m/>
  </r>
  <r>
    <x v="4"/>
    <s v="Company Z"/>
    <s v="Syrup"/>
    <s v="50 mg"/>
    <n v="30"/>
    <n v="1183"/>
    <s v="$39477"/>
    <x v="88"/>
    <x v="4"/>
    <s v="Anita Morgan"/>
    <s v="Clinics"/>
    <n v="39477"/>
    <n v="33.370245139475905"/>
    <m/>
    <m/>
  </r>
  <r>
    <x v="3"/>
    <s v="Company Z"/>
    <s v="Tablet"/>
    <s v="250 mg"/>
    <n v="60"/>
    <n v="1394"/>
    <s v="$13808"/>
    <x v="242"/>
    <x v="2"/>
    <s v="Sheryl Ramos"/>
    <s v="Hospitals"/>
    <n v="13808"/>
    <n v="9.9053084648493552"/>
    <m/>
    <m/>
  </r>
  <r>
    <x v="1"/>
    <s v="Company Z"/>
    <s v="Syrup"/>
    <s v="500 mg"/>
    <s v="100 ml"/>
    <n v="626"/>
    <s v="$28471"/>
    <x v="153"/>
    <x v="3"/>
    <s v="Robert Cline"/>
    <s v="Clinics"/>
    <n v="28471"/>
    <n v="45.480830670926515"/>
    <m/>
    <m/>
  </r>
  <r>
    <x v="0"/>
    <s v="Company V"/>
    <s v="Injection"/>
    <s v="10 mg"/>
    <n v="60"/>
    <n v="1394"/>
    <s v="$3360"/>
    <x v="243"/>
    <x v="3"/>
    <s v="Katherine Smith"/>
    <s v="Hospitals"/>
    <n v="3360"/>
    <n v="2.4103299856527975"/>
    <m/>
    <m/>
  </r>
  <r>
    <x v="0"/>
    <s v="Company X"/>
    <s v="Tablet"/>
    <s v="250 mg"/>
    <n v="30"/>
    <n v="1699"/>
    <s v="$25685"/>
    <x v="60"/>
    <x v="0"/>
    <s v="Sarah Martin"/>
    <s v="Hospitals"/>
    <n v="25685"/>
    <n v="15.117716303708063"/>
    <m/>
    <m/>
  </r>
  <r>
    <x v="1"/>
    <s v="Company W"/>
    <s v="Cream"/>
    <s v="250 mg"/>
    <n v="30"/>
    <n v="364"/>
    <s v="$20390"/>
    <x v="215"/>
    <x v="4"/>
    <s v="Maria Sullivan"/>
    <s v="Hospitals"/>
    <n v="20390"/>
    <n v="56.016483516483518"/>
    <m/>
    <m/>
  </r>
  <r>
    <x v="0"/>
    <s v="Company X"/>
    <s v="Injection"/>
    <s v="100 mg/ml"/>
    <n v="60"/>
    <n v="1120"/>
    <s v="$22277"/>
    <x v="133"/>
    <x v="0"/>
    <s v="Janet Bates"/>
    <s v="Hospitals"/>
    <n v="22277"/>
    <n v="19.890178571428571"/>
    <m/>
    <m/>
  </r>
  <r>
    <x v="4"/>
    <s v="Company Y"/>
    <s v="Cream"/>
    <s v="50 mg"/>
    <s v="10 ml"/>
    <n v="323"/>
    <s v="$22108"/>
    <x v="133"/>
    <x v="4"/>
    <s v="Jorge Garcia"/>
    <s v="Online Pharmacy"/>
    <n v="22108"/>
    <n v="68.445820433436538"/>
    <m/>
    <m/>
  </r>
  <r>
    <x v="1"/>
    <s v="Company X"/>
    <s v="Capsule"/>
    <s v="500 mg"/>
    <n v="30"/>
    <n v="1394"/>
    <s v="$45719"/>
    <x v="71"/>
    <x v="0"/>
    <s v="Jacob Bennett"/>
    <s v="Online Pharmacy"/>
    <n v="45719"/>
    <n v="32.796987087517934"/>
    <m/>
    <m/>
  </r>
  <r>
    <x v="0"/>
    <s v="Company V"/>
    <s v="Syrup"/>
    <s v="250 mg"/>
    <n v="30"/>
    <n v="515"/>
    <s v="$10882"/>
    <x v="56"/>
    <x v="3"/>
    <s v="Sarah Davila"/>
    <s v="Online Pharmacy"/>
    <n v="10882"/>
    <n v="21.13009708737864"/>
    <m/>
    <m/>
  </r>
  <r>
    <x v="4"/>
    <s v="Company Y"/>
    <s v="Capsule"/>
    <s v="50 mg"/>
    <s v="10 ml"/>
    <n v="1729"/>
    <s v="$26352"/>
    <x v="244"/>
    <x v="3"/>
    <s v="Carolyn Rhodes"/>
    <s v="Supermarkets"/>
    <n v="26352"/>
    <n v="15.241179872758821"/>
    <m/>
    <m/>
  </r>
  <r>
    <x v="1"/>
    <s v="Company X"/>
    <s v="Capsule"/>
    <s v="50 mg"/>
    <n v="30"/>
    <n v="1208"/>
    <s v="$39952"/>
    <x v="113"/>
    <x v="0"/>
    <s v="Erik Silva"/>
    <s v="Supermarkets"/>
    <n v="39952"/>
    <n v="33.072847682119203"/>
    <m/>
    <m/>
  </r>
  <r>
    <x v="4"/>
    <s v="Company X"/>
    <s v="Syrup"/>
    <s v="10 mg"/>
    <n v="30"/>
    <n v="1657"/>
    <s v="$21133"/>
    <x v="56"/>
    <x v="1"/>
    <s v="Eric Lee"/>
    <s v="Clinics"/>
    <n v="21133"/>
    <n v="12.753771876885938"/>
    <m/>
    <m/>
  </r>
  <r>
    <x v="3"/>
    <s v="Company W"/>
    <s v="Syrup"/>
    <s v="500 mg"/>
    <n v="60"/>
    <n v="1572"/>
    <s v="$46966"/>
    <x v="93"/>
    <x v="4"/>
    <s v="David Bell"/>
    <s v="Pharmacy"/>
    <n v="46966"/>
    <n v="29.876590330788805"/>
    <m/>
    <m/>
  </r>
  <r>
    <x v="3"/>
    <s v="Company Y"/>
    <s v="Injection"/>
    <s v="500 mg"/>
    <n v="60"/>
    <n v="901"/>
    <s v="$37255"/>
    <x v="196"/>
    <x v="1"/>
    <s v="Raymond Aguirre"/>
    <s v="Clinics"/>
    <n v="37255"/>
    <n v="41.348501664816872"/>
    <m/>
    <m/>
  </r>
  <r>
    <x v="2"/>
    <s v="Company X"/>
    <s v="Injection"/>
    <s v="100 mg/ml"/>
    <s v="100 ml"/>
    <n v="814"/>
    <s v="$11345"/>
    <x v="58"/>
    <x v="2"/>
    <s v="Juan Webb"/>
    <s v="Supermarkets"/>
    <n v="11345"/>
    <n v="13.937346437346438"/>
    <m/>
    <m/>
  </r>
  <r>
    <x v="1"/>
    <s v="Company X"/>
    <s v="Injection"/>
    <s v="50 mg"/>
    <s v="10 ml"/>
    <n v="1124"/>
    <s v="$18402"/>
    <x v="6"/>
    <x v="0"/>
    <s v="Matthew Johnson"/>
    <s v="Online Pharmacy"/>
    <n v="18402"/>
    <n v="16.371886120996443"/>
    <m/>
    <m/>
  </r>
  <r>
    <x v="0"/>
    <s v="Company X"/>
    <s v="Injection"/>
    <s v="250 mg"/>
    <s v="100 ml"/>
    <n v="1609"/>
    <s v="$12823"/>
    <x v="31"/>
    <x v="2"/>
    <s v="Daniel Poole"/>
    <s v="Online Pharmacy"/>
    <n v="12823"/>
    <n v="7.9695463020509631"/>
    <m/>
    <m/>
  </r>
  <r>
    <x v="1"/>
    <s v="Company X"/>
    <s v="Injection"/>
    <s v="250 mg"/>
    <s v="50 g"/>
    <n v="846"/>
    <s v="$39016"/>
    <x v="244"/>
    <x v="0"/>
    <s v="Joseph Howard"/>
    <s v="Clinics"/>
    <n v="39016"/>
    <n v="46.118203309692674"/>
    <m/>
    <m/>
  </r>
  <r>
    <x v="3"/>
    <s v="Company V"/>
    <s v="Cream"/>
    <s v="250 mg"/>
    <s v="50 g"/>
    <n v="859"/>
    <s v="$49397"/>
    <x v="245"/>
    <x v="1"/>
    <s v="Madison Butler"/>
    <s v="Online Pharmacy"/>
    <n v="49397"/>
    <n v="57.505238649592549"/>
    <m/>
    <m/>
  </r>
  <r>
    <x v="1"/>
    <s v="Company V"/>
    <s v="Tablet"/>
    <s v="250 mg"/>
    <s v="10 ml"/>
    <n v="389"/>
    <s v="$3098"/>
    <x v="145"/>
    <x v="2"/>
    <s v="Cameron Hunter"/>
    <s v="Hospitals"/>
    <n v="3098"/>
    <n v="7.9640102827763499"/>
    <m/>
    <m/>
  </r>
  <r>
    <x v="0"/>
    <s v="Company Z"/>
    <s v="Injection"/>
    <s v="500 mg"/>
    <n v="60"/>
    <n v="1964"/>
    <s v="$38375"/>
    <x v="236"/>
    <x v="0"/>
    <s v="James Smith"/>
    <s v="Clinics"/>
    <n v="38375"/>
    <n v="19.539205702647656"/>
    <m/>
    <m/>
  </r>
  <r>
    <x v="3"/>
    <s v="Company Y"/>
    <s v="Injection"/>
    <s v="100 mg/ml"/>
    <n v="60"/>
    <n v="764"/>
    <s v="$2858"/>
    <x v="246"/>
    <x v="4"/>
    <s v="Brian Dodson"/>
    <s v="Hospitals"/>
    <n v="2858"/>
    <n v="3.7408376963350785"/>
    <m/>
    <m/>
  </r>
  <r>
    <x v="4"/>
    <s v="Company Y"/>
    <s v="Syrup"/>
    <s v="500 mg"/>
    <n v="30"/>
    <n v="1326"/>
    <s v="$20696"/>
    <x v="183"/>
    <x v="4"/>
    <s v="Savannah Brown"/>
    <s v="Clinics"/>
    <n v="20696"/>
    <n v="15.607843137254902"/>
    <m/>
    <m/>
  </r>
  <r>
    <x v="1"/>
    <s v="Company Z"/>
    <s v="Cream"/>
    <s v="50 mg"/>
    <s v="50 g"/>
    <n v="229"/>
    <s v="$17960"/>
    <x v="247"/>
    <x v="2"/>
    <s v="John Gates"/>
    <s v="Clinics"/>
    <n v="17960"/>
    <n v="78.427947598253269"/>
    <m/>
    <m/>
  </r>
  <r>
    <x v="1"/>
    <s v="Company V"/>
    <s v="Tablet"/>
    <s v="50 mg"/>
    <s v="10 ml"/>
    <n v="1201"/>
    <s v="$15965"/>
    <x v="74"/>
    <x v="0"/>
    <s v="Christine Willis"/>
    <s v="Clinics"/>
    <n v="15965"/>
    <n v="13.293089092422981"/>
    <m/>
    <m/>
  </r>
  <r>
    <x v="0"/>
    <s v="Company V"/>
    <s v="Tablet"/>
    <s v="500 mg"/>
    <n v="60"/>
    <n v="498"/>
    <s v="$17227"/>
    <x v="191"/>
    <x v="0"/>
    <s v="Rebecca Taylor"/>
    <s v="Clinics"/>
    <n v="17227"/>
    <n v="34.592369477911646"/>
    <m/>
    <m/>
  </r>
  <r>
    <x v="1"/>
    <s v="Company W"/>
    <s v="Capsule"/>
    <s v="500 mg"/>
    <n v="60"/>
    <n v="1171"/>
    <s v="$1301"/>
    <x v="224"/>
    <x v="2"/>
    <s v="Lauren Johnson"/>
    <s v="Pharmacy"/>
    <n v="1301"/>
    <n v="1.1110162254483347"/>
    <m/>
    <m/>
  </r>
  <r>
    <x v="4"/>
    <s v="Company Y"/>
    <s v="Injection"/>
    <s v="10 mg"/>
    <n v="30"/>
    <n v="429"/>
    <s v="$1770"/>
    <x v="248"/>
    <x v="3"/>
    <s v="Candace Bowen"/>
    <s v="Supermarkets"/>
    <n v="1770"/>
    <n v="4.1258741258741258"/>
    <m/>
    <m/>
  </r>
  <r>
    <x v="3"/>
    <s v="Company Z"/>
    <s v="Capsule"/>
    <s v="50 mg"/>
    <n v="60"/>
    <n v="149"/>
    <s v="$24712"/>
    <x v="229"/>
    <x v="2"/>
    <s v="Chase Melendez"/>
    <s v="Online Pharmacy"/>
    <n v="24712"/>
    <n v="165.85234899328859"/>
    <m/>
    <m/>
  </r>
  <r>
    <x v="0"/>
    <s v="Company Y"/>
    <s v="Cream"/>
    <s v="250 mg"/>
    <n v="60"/>
    <n v="832"/>
    <s v="$41916"/>
    <x v="249"/>
    <x v="0"/>
    <s v="Mr. Austin Park"/>
    <s v="Online Pharmacy"/>
    <n v="41916"/>
    <n v="50.379807692307693"/>
    <m/>
    <m/>
  </r>
  <r>
    <x v="2"/>
    <s v="Company X"/>
    <s v="Syrup"/>
    <s v="500 mg"/>
    <s v="50 g"/>
    <n v="324"/>
    <s v="$40529"/>
    <x v="233"/>
    <x v="1"/>
    <s v="Wendy Cowan"/>
    <s v="Clinics"/>
    <n v="40529"/>
    <n v="125.08950617283951"/>
    <m/>
    <m/>
  </r>
  <r>
    <x v="1"/>
    <s v="Company Y"/>
    <s v="Capsule"/>
    <s v="500 mg"/>
    <s v="10 ml"/>
    <n v="244"/>
    <s v="$34645"/>
    <x v="32"/>
    <x v="0"/>
    <s v="Shelly Ball"/>
    <s v="Clinics"/>
    <n v="34645"/>
    <n v="141.98770491803279"/>
    <m/>
    <m/>
  </r>
  <r>
    <x v="1"/>
    <s v="Company Z"/>
    <s v="Syrup"/>
    <s v="50 mg"/>
    <n v="60"/>
    <n v="298"/>
    <s v="$26167"/>
    <x v="250"/>
    <x v="3"/>
    <s v="Nancy Evans"/>
    <s v="Supermarkets"/>
    <n v="26167"/>
    <n v="87.808724832214764"/>
    <m/>
    <m/>
  </r>
  <r>
    <x v="1"/>
    <s v="Company X"/>
    <s v="Syrup"/>
    <s v="100 mg/ml"/>
    <n v="30"/>
    <n v="1148"/>
    <s v="$49962"/>
    <x v="211"/>
    <x v="3"/>
    <s v="Cathy Hooper"/>
    <s v="Clinics"/>
    <n v="49962"/>
    <n v="43.520905923344948"/>
    <m/>
    <m/>
  </r>
  <r>
    <x v="1"/>
    <s v="Company Z"/>
    <s v="Syrup"/>
    <s v="250 mg"/>
    <n v="60"/>
    <n v="1090"/>
    <s v="$1972"/>
    <x v="251"/>
    <x v="1"/>
    <s v="Amy Garcia"/>
    <s v="Pharmacy"/>
    <n v="1972"/>
    <n v="1.8091743119266055"/>
    <m/>
    <m/>
  </r>
  <r>
    <x v="0"/>
    <s v="Company V"/>
    <s v="Injection"/>
    <s v="100 mg/ml"/>
    <s v="100 ml"/>
    <n v="1944"/>
    <s v="$26394"/>
    <x v="252"/>
    <x v="3"/>
    <s v="Deborah Lopez"/>
    <s v="Pharmacy"/>
    <n v="26394"/>
    <n v="13.57716049382716"/>
    <m/>
    <m/>
  </r>
  <r>
    <x v="1"/>
    <s v="Company Z"/>
    <s v="Injection"/>
    <s v="10 mg"/>
    <n v="30"/>
    <n v="835"/>
    <s v="$30738"/>
    <x v="198"/>
    <x v="1"/>
    <s v="Tiffany Lucas"/>
    <s v="Supermarkets"/>
    <n v="30738"/>
    <n v="36.811976047904189"/>
    <m/>
    <m/>
  </r>
  <r>
    <x v="3"/>
    <s v="Company V"/>
    <s v="Injection"/>
    <s v="10 mg"/>
    <s v="100 ml"/>
    <n v="1156"/>
    <s v="$38835"/>
    <x v="32"/>
    <x v="3"/>
    <s v="Karen Garcia"/>
    <s v="Pharmacy"/>
    <n v="38835"/>
    <n v="33.594290657439444"/>
    <m/>
    <m/>
  </r>
  <r>
    <x v="2"/>
    <s v="Company Z"/>
    <s v="Cream"/>
    <s v="500 mg"/>
    <n v="60"/>
    <n v="728"/>
    <s v="$11807"/>
    <x v="19"/>
    <x v="2"/>
    <s v="Tracy Wagner"/>
    <s v="Pharmacy"/>
    <n v="11807"/>
    <n v="16.218406593406595"/>
    <m/>
    <m/>
  </r>
  <r>
    <x v="1"/>
    <s v="Company Z"/>
    <s v="Syrup"/>
    <s v="250 mg"/>
    <s v="100 ml"/>
    <n v="1706"/>
    <s v="$30997"/>
    <x v="10"/>
    <x v="0"/>
    <s v="Kimberly Hudson"/>
    <s v="Online Pharmacy"/>
    <n v="30997"/>
    <n v="18.169402110199297"/>
    <m/>
    <m/>
  </r>
  <r>
    <x v="0"/>
    <s v="Company W"/>
    <s v="Cream"/>
    <s v="10 mg"/>
    <n v="60"/>
    <n v="1281"/>
    <s v="$18807"/>
    <x v="67"/>
    <x v="3"/>
    <s v="Walter Maldonado"/>
    <s v="Clinics"/>
    <n v="18807"/>
    <n v="14.681498829039812"/>
    <m/>
    <m/>
  </r>
  <r>
    <x v="3"/>
    <s v="Company Z"/>
    <s v="Capsule"/>
    <s v="100 mg/ml"/>
    <n v="30"/>
    <n v="1507"/>
    <s v="$30246"/>
    <x v="158"/>
    <x v="4"/>
    <s v="Tyrone Doyle"/>
    <s v="Pharmacy"/>
    <n v="30246"/>
    <n v="20.070338420703383"/>
    <m/>
    <m/>
  </r>
  <r>
    <x v="2"/>
    <s v="Company W"/>
    <s v="Cream"/>
    <s v="100 mg/ml"/>
    <s v="10 ml"/>
    <n v="1337"/>
    <s v="$1231"/>
    <x v="41"/>
    <x v="3"/>
    <s v="Sherry Adams"/>
    <s v="Pharmacy"/>
    <n v="1231"/>
    <n v="0.92071802543006731"/>
    <m/>
    <m/>
  </r>
  <r>
    <x v="1"/>
    <s v="Company Z"/>
    <s v="Capsule"/>
    <s v="100 mg/ml"/>
    <n v="60"/>
    <n v="483"/>
    <s v="$10434"/>
    <x v="201"/>
    <x v="2"/>
    <s v="Brooke Russell"/>
    <s v="Supermarkets"/>
    <n v="10434"/>
    <n v="21.602484472049689"/>
    <m/>
    <m/>
  </r>
  <r>
    <x v="1"/>
    <s v="Company X"/>
    <s v="Injection"/>
    <s v="250 mg"/>
    <s v="50 g"/>
    <n v="1562"/>
    <s v="$4538"/>
    <x v="202"/>
    <x v="3"/>
    <s v="Stephanie Boyd"/>
    <s v="Supermarkets"/>
    <n v="4538"/>
    <n v="2.9052496798975671"/>
    <m/>
    <m/>
  </r>
  <r>
    <x v="3"/>
    <s v="Company Y"/>
    <s v="Syrup"/>
    <s v="250 mg"/>
    <s v="50 g"/>
    <n v="1893"/>
    <s v="$10971"/>
    <x v="110"/>
    <x v="1"/>
    <s v="Thomas Vega"/>
    <s v="Clinics"/>
    <n v="10971"/>
    <n v="5.795562599049128"/>
    <m/>
    <m/>
  </r>
  <r>
    <x v="0"/>
    <s v="Company X"/>
    <s v="Tablet"/>
    <s v="10 mg"/>
    <s v="10 ml"/>
    <n v="368"/>
    <s v="$16546"/>
    <x v="20"/>
    <x v="2"/>
    <s v="Maria Lewis"/>
    <s v="Hospitals"/>
    <n v="16546"/>
    <n v="44.961956521739133"/>
    <m/>
    <m/>
  </r>
  <r>
    <x v="3"/>
    <s v="Company Z"/>
    <s v="Cream"/>
    <s v="50 mg"/>
    <s v="50 g"/>
    <n v="1781"/>
    <s v="$2138"/>
    <x v="149"/>
    <x v="3"/>
    <s v="Alexis Luna"/>
    <s v="Hospitals"/>
    <n v="2138"/>
    <n v="1.2004491858506456"/>
    <m/>
    <m/>
  </r>
  <r>
    <x v="4"/>
    <s v="Company X"/>
    <s v="Injection"/>
    <s v="250 mg"/>
    <n v="30"/>
    <n v="440"/>
    <s v="$20986"/>
    <x v="109"/>
    <x v="2"/>
    <s v="Hannah Lynch"/>
    <s v="Clinics"/>
    <n v="20986"/>
    <n v="47.695454545454545"/>
    <m/>
    <m/>
  </r>
  <r>
    <x v="1"/>
    <s v="Company Z"/>
    <s v="Syrup"/>
    <s v="100 mg/ml"/>
    <s v="100 ml"/>
    <n v="214"/>
    <s v="$43574"/>
    <x v="234"/>
    <x v="4"/>
    <s v="Todd Ortiz"/>
    <s v="Pharmacy"/>
    <n v="43574"/>
    <n v="203.61682242990653"/>
    <m/>
    <m/>
  </r>
  <r>
    <x v="0"/>
    <s v="Company W"/>
    <s v="Tablet"/>
    <s v="500 mg"/>
    <n v="30"/>
    <n v="472"/>
    <s v="$19038"/>
    <x v="92"/>
    <x v="4"/>
    <s v="Wanda Salazar"/>
    <s v="Clinics"/>
    <n v="19038"/>
    <n v="40.334745762711862"/>
    <m/>
    <m/>
  </r>
  <r>
    <x v="0"/>
    <s v="Company W"/>
    <s v="Tablet"/>
    <s v="50 mg"/>
    <n v="30"/>
    <n v="1484"/>
    <s v="$29949"/>
    <x v="126"/>
    <x v="1"/>
    <s v="Margaret Patel"/>
    <s v="Supermarkets"/>
    <n v="29949"/>
    <n v="20.181266846361186"/>
    <m/>
    <m/>
  </r>
  <r>
    <x v="2"/>
    <s v="Company X"/>
    <s v="Tablet"/>
    <s v="250 mg"/>
    <s v="100 ml"/>
    <n v="914"/>
    <s v="$34019"/>
    <x v="203"/>
    <x v="4"/>
    <s v="Kevin Morrow"/>
    <s v="Pharmacy"/>
    <n v="34019"/>
    <n v="37.2199124726477"/>
    <m/>
    <m/>
  </r>
  <r>
    <x v="2"/>
    <s v="Company Y"/>
    <s v="Capsule"/>
    <s v="10 mg"/>
    <s v="100 ml"/>
    <n v="1423"/>
    <s v="$36260"/>
    <x v="10"/>
    <x v="3"/>
    <s v="Todd Lewis"/>
    <s v="Pharmacy"/>
    <n v="36260"/>
    <n v="25.481377371749826"/>
    <m/>
    <m/>
  </r>
  <r>
    <x v="3"/>
    <s v="Company Z"/>
    <s v="Tablet"/>
    <s v="500 mg"/>
    <n v="60"/>
    <n v="1566"/>
    <s v="$16223"/>
    <x v="54"/>
    <x v="4"/>
    <s v="Michael Hernandez"/>
    <s v="Supermarkets"/>
    <n v="16223"/>
    <n v="10.359514687100894"/>
    <m/>
    <m/>
  </r>
  <r>
    <x v="2"/>
    <s v="Company Z"/>
    <s v="Syrup"/>
    <s v="10 mg"/>
    <n v="30"/>
    <n v="908"/>
    <s v="$43749"/>
    <x v="205"/>
    <x v="1"/>
    <s v="Allison Duran"/>
    <s v="Online Pharmacy"/>
    <n v="43749"/>
    <n v="48.181718061674012"/>
    <m/>
    <m/>
  </r>
  <r>
    <x v="3"/>
    <s v="Company X"/>
    <s v="Tablet"/>
    <s v="250 mg"/>
    <n v="60"/>
    <n v="1387"/>
    <s v="$44173"/>
    <x v="97"/>
    <x v="4"/>
    <s v="Angela Freeman"/>
    <s v="Pharmacy"/>
    <n v="44173"/>
    <n v="31.8478731074261"/>
    <m/>
    <m/>
  </r>
  <r>
    <x v="2"/>
    <s v="Company V"/>
    <s v="Capsule"/>
    <s v="250 mg"/>
    <n v="60"/>
    <n v="755"/>
    <s v="$34127"/>
    <x v="10"/>
    <x v="0"/>
    <s v="Jessica Andrews"/>
    <s v="Pharmacy"/>
    <n v="34127"/>
    <n v="45.201324503311255"/>
    <m/>
    <m/>
  </r>
  <r>
    <x v="3"/>
    <s v="Company V"/>
    <s v="Capsule"/>
    <s v="500 mg"/>
    <s v="100 ml"/>
    <n v="1434"/>
    <s v="$43000"/>
    <x v="253"/>
    <x v="2"/>
    <s v="Jay Tate"/>
    <s v="Supermarkets"/>
    <n v="43000"/>
    <n v="29.986052998605299"/>
    <m/>
    <m/>
  </r>
  <r>
    <x v="0"/>
    <s v="Company Z"/>
    <s v="Syrup"/>
    <s v="50 mg"/>
    <s v="10 ml"/>
    <n v="1286"/>
    <s v="$1777"/>
    <x v="82"/>
    <x v="3"/>
    <s v="Keith Davis"/>
    <s v="Hospitals"/>
    <n v="1777"/>
    <n v="1.3818040435458787"/>
    <m/>
    <m/>
  </r>
  <r>
    <x v="4"/>
    <s v="Company V"/>
    <s v="Injection"/>
    <s v="500 mg"/>
    <n v="60"/>
    <n v="992"/>
    <s v="$4119"/>
    <x v="144"/>
    <x v="2"/>
    <s v="Dennis Simmons"/>
    <s v="Hospitals"/>
    <n v="4119"/>
    <n v="4.152217741935484"/>
    <m/>
    <m/>
  </r>
  <r>
    <x v="0"/>
    <s v="Company Z"/>
    <s v="Injection"/>
    <s v="100 mg/ml"/>
    <n v="60"/>
    <n v="130"/>
    <s v="$37525"/>
    <x v="254"/>
    <x v="2"/>
    <s v="Joshua Spencer"/>
    <s v="Hospitals"/>
    <n v="37525"/>
    <n v="288.65384615384613"/>
    <m/>
    <m/>
  </r>
  <r>
    <x v="2"/>
    <s v="Company W"/>
    <s v="Tablet"/>
    <s v="100 mg/ml"/>
    <s v="10 ml"/>
    <n v="1575"/>
    <s v="$15314"/>
    <x v="218"/>
    <x v="3"/>
    <s v="Ronnie Becker"/>
    <s v="Pharmacy"/>
    <n v="15314"/>
    <n v="9.7231746031746038"/>
    <m/>
    <m/>
  </r>
  <r>
    <x v="3"/>
    <s v="Company Y"/>
    <s v="Tablet"/>
    <s v="100 mg/ml"/>
    <n v="30"/>
    <n v="634"/>
    <s v="$28930"/>
    <x v="133"/>
    <x v="4"/>
    <s v="Brittany Knight"/>
    <s v="Online Pharmacy"/>
    <n v="28930"/>
    <n v="45.630914826498426"/>
    <m/>
    <m/>
  </r>
  <r>
    <x v="2"/>
    <s v="Company W"/>
    <s v="Cream"/>
    <s v="250 mg"/>
    <s v="100 ml"/>
    <n v="937"/>
    <s v="$1592"/>
    <x v="177"/>
    <x v="1"/>
    <s v="Mrs. Tammy Ferguson"/>
    <s v="Hospitals"/>
    <n v="1592"/>
    <n v="1.6990394877267876"/>
    <m/>
    <m/>
  </r>
  <r>
    <x v="3"/>
    <s v="Company W"/>
    <s v="Injection"/>
    <s v="100 mg/ml"/>
    <n v="60"/>
    <n v="653"/>
    <s v="$40612"/>
    <x v="255"/>
    <x v="0"/>
    <s v="Daniel Flores"/>
    <s v="Clinics"/>
    <n v="40612"/>
    <n v="62.192955589586525"/>
    <m/>
    <m/>
  </r>
  <r>
    <x v="1"/>
    <s v="Company W"/>
    <s v="Cream"/>
    <s v="500 mg"/>
    <n v="30"/>
    <n v="924"/>
    <s v="$12763"/>
    <x v="178"/>
    <x v="3"/>
    <s v="Jocelyn Adams"/>
    <s v="Online Pharmacy"/>
    <n v="12763"/>
    <n v="13.812770562770563"/>
    <m/>
    <m/>
  </r>
  <r>
    <x v="3"/>
    <s v="Company Z"/>
    <s v="Injection"/>
    <s v="100 mg/ml"/>
    <s v="10 ml"/>
    <n v="1480"/>
    <s v="$22509"/>
    <x v="256"/>
    <x v="1"/>
    <s v="Ronald Lopez"/>
    <s v="Online Pharmacy"/>
    <n v="22509"/>
    <n v="15.208783783783783"/>
    <m/>
    <m/>
  </r>
  <r>
    <x v="0"/>
    <s v="Company X"/>
    <s v="Cream"/>
    <s v="50 mg"/>
    <n v="30"/>
    <n v="1069"/>
    <s v="$20868"/>
    <x v="197"/>
    <x v="3"/>
    <s v="Sarah Anderson"/>
    <s v="Supermarkets"/>
    <n v="20868"/>
    <n v="19.521047708138447"/>
    <m/>
    <m/>
  </r>
  <r>
    <x v="0"/>
    <s v="Company W"/>
    <s v="Syrup"/>
    <s v="250 mg"/>
    <n v="30"/>
    <n v="1480"/>
    <s v="$28254"/>
    <x v="173"/>
    <x v="2"/>
    <s v="Bryan Gonzalez"/>
    <s v="Supermarkets"/>
    <n v="28254"/>
    <n v="19.090540540540541"/>
    <m/>
    <m/>
  </r>
  <r>
    <x v="1"/>
    <s v="Company W"/>
    <s v="Injection"/>
    <s v="50 mg"/>
    <s v="100 ml"/>
    <n v="1744"/>
    <s v="$47553"/>
    <x v="257"/>
    <x v="4"/>
    <s v="Steven Knox"/>
    <s v="Supermarkets"/>
    <n v="47553"/>
    <n v="27.266628440366972"/>
    <m/>
    <m/>
  </r>
  <r>
    <x v="1"/>
    <s v="Company Y"/>
    <s v="Injection"/>
    <s v="250 mg"/>
    <n v="30"/>
    <n v="343"/>
    <s v="$15580"/>
    <x v="38"/>
    <x v="2"/>
    <s v="Anna Shepherd"/>
    <s v="Clinics"/>
    <n v="15580"/>
    <n v="45.422740524781339"/>
    <m/>
    <m/>
  </r>
  <r>
    <x v="1"/>
    <s v="Company V"/>
    <s v="Cream"/>
    <s v="100 mg/ml"/>
    <s v="50 g"/>
    <n v="1448"/>
    <s v="$36442"/>
    <x v="258"/>
    <x v="4"/>
    <s v="Shawn Delgado DVM"/>
    <s v="Clinics"/>
    <n v="36442"/>
    <n v="25.167127071823206"/>
    <m/>
    <m/>
  </r>
  <r>
    <x v="3"/>
    <s v="Company Z"/>
    <s v="Injection"/>
    <s v="100 mg/ml"/>
    <s v="50 g"/>
    <n v="1484"/>
    <s v="$24252"/>
    <x v="15"/>
    <x v="2"/>
    <s v="Debra Nichols"/>
    <s v="Pharmacy"/>
    <n v="24252"/>
    <n v="16.342318059299192"/>
    <m/>
    <m/>
  </r>
  <r>
    <x v="2"/>
    <s v="Company Z"/>
    <s v="Injection"/>
    <s v="100 mg/ml"/>
    <s v="50 g"/>
    <n v="646"/>
    <s v="$39816"/>
    <x v="259"/>
    <x v="0"/>
    <s v="Leslie Cruz"/>
    <s v="Supermarkets"/>
    <n v="39816"/>
    <n v="61.634674922600617"/>
    <m/>
    <m/>
  </r>
  <r>
    <x v="0"/>
    <s v="Company W"/>
    <s v="Injection"/>
    <s v="500 mg"/>
    <s v="100 ml"/>
    <n v="873"/>
    <s v="$19598"/>
    <x v="124"/>
    <x v="0"/>
    <s v="Tamara Ryan"/>
    <s v="Clinics"/>
    <n v="19598"/>
    <n v="22.449026345933561"/>
    <m/>
    <m/>
  </r>
  <r>
    <x v="4"/>
    <s v="Company Z"/>
    <s v="Injection"/>
    <s v="500 mg"/>
    <s v="10 ml"/>
    <n v="507"/>
    <s v="$2658"/>
    <x v="250"/>
    <x v="3"/>
    <s v="Lisa Wallace"/>
    <s v="Clinics"/>
    <n v="2658"/>
    <n v="5.2426035502958577"/>
    <m/>
    <m/>
  </r>
  <r>
    <x v="1"/>
    <s v="Company Z"/>
    <s v="Injection"/>
    <s v="100 mg/ml"/>
    <n v="30"/>
    <n v="1465"/>
    <s v="$22742"/>
    <x v="68"/>
    <x v="4"/>
    <s v="Judy Alvarado"/>
    <s v="Clinics"/>
    <n v="22742"/>
    <n v="15.523549488054607"/>
    <m/>
    <m/>
  </r>
  <r>
    <x v="0"/>
    <s v="Company Z"/>
    <s v="Tablet"/>
    <s v="250 mg"/>
    <s v="50 g"/>
    <n v="917"/>
    <s v="$16758"/>
    <x v="16"/>
    <x v="3"/>
    <s v="William Jones"/>
    <s v="Hospitals"/>
    <n v="16758"/>
    <n v="18.274809160305342"/>
    <m/>
    <m/>
  </r>
  <r>
    <x v="1"/>
    <s v="Company W"/>
    <s v="Cream"/>
    <s v="500 mg"/>
    <s v="50 g"/>
    <n v="450"/>
    <s v="$4842"/>
    <x v="161"/>
    <x v="2"/>
    <s v="Timothy Lewis"/>
    <s v="Pharmacy"/>
    <n v="4842"/>
    <n v="10.76"/>
    <m/>
    <m/>
  </r>
  <r>
    <x v="4"/>
    <s v="Company V"/>
    <s v="Syrup"/>
    <s v="100 mg/ml"/>
    <n v="60"/>
    <n v="1036"/>
    <s v="$28098"/>
    <x v="37"/>
    <x v="0"/>
    <s v="Kristin Stewart"/>
    <s v="Clinics"/>
    <n v="28098"/>
    <n v="27.121621621621621"/>
    <m/>
    <m/>
  </r>
  <r>
    <x v="4"/>
    <s v="Company W"/>
    <s v="Tablet"/>
    <s v="50 mg"/>
    <n v="30"/>
    <n v="355"/>
    <s v="$16758"/>
    <x v="212"/>
    <x v="2"/>
    <s v="Michael Gaines"/>
    <s v="Online Pharmacy"/>
    <n v="16758"/>
    <n v="47.205633802816898"/>
    <m/>
    <m/>
  </r>
  <r>
    <x v="1"/>
    <s v="Company Y"/>
    <s v="Capsule"/>
    <s v="10 mg"/>
    <s v="10 ml"/>
    <n v="159"/>
    <s v="$10132"/>
    <x v="234"/>
    <x v="4"/>
    <s v="Rebecca Turner"/>
    <s v="Pharmacy"/>
    <n v="10132"/>
    <n v="63.723270440251575"/>
    <m/>
    <m/>
  </r>
  <r>
    <x v="2"/>
    <s v="Company V"/>
    <s v="Injection"/>
    <s v="100 mg/ml"/>
    <n v="30"/>
    <n v="1835"/>
    <s v="$48131"/>
    <x v="161"/>
    <x v="0"/>
    <s v="Kevin Johnson"/>
    <s v="Pharmacy"/>
    <n v="48131"/>
    <n v="26.22942779291553"/>
    <m/>
    <m/>
  </r>
  <r>
    <x v="1"/>
    <s v="Company Y"/>
    <s v="Tablet"/>
    <s v="50 mg"/>
    <n v="30"/>
    <n v="345"/>
    <s v="$23783"/>
    <x v="260"/>
    <x v="4"/>
    <s v="Michelle Bowman"/>
    <s v="Online Pharmacy"/>
    <n v="23783"/>
    <n v="68.936231884057975"/>
    <m/>
    <m/>
  </r>
  <r>
    <x v="2"/>
    <s v="Company Z"/>
    <s v="Capsule"/>
    <s v="100 mg/ml"/>
    <n v="30"/>
    <n v="1701"/>
    <s v="$38134"/>
    <x v="261"/>
    <x v="4"/>
    <s v="Michael Burch"/>
    <s v="Clinics"/>
    <n v="38134"/>
    <n v="22.418577307466197"/>
    <m/>
    <m/>
  </r>
  <r>
    <x v="2"/>
    <s v="Company X"/>
    <s v="Capsule"/>
    <s v="10 mg"/>
    <n v="30"/>
    <n v="966"/>
    <s v="$29754"/>
    <x v="262"/>
    <x v="4"/>
    <s v="Angel Gonzalez"/>
    <s v="Pharmacy"/>
    <n v="29754"/>
    <n v="30.801242236024844"/>
    <m/>
    <m/>
  </r>
  <r>
    <x v="3"/>
    <s v="Company X"/>
    <s v="Cream"/>
    <s v="50 mg"/>
    <s v="50 g"/>
    <n v="1876"/>
    <s v="$35523"/>
    <x v="44"/>
    <x v="4"/>
    <s v="Tammy Dunlap"/>
    <s v="Pharmacy"/>
    <n v="35523"/>
    <n v="18.93550106609808"/>
    <m/>
    <m/>
  </r>
  <r>
    <x v="4"/>
    <s v="Company Z"/>
    <s v="Tablet"/>
    <s v="10 mg"/>
    <s v="100 ml"/>
    <n v="1589"/>
    <s v="$39611"/>
    <x v="263"/>
    <x v="0"/>
    <s v="John Ramirez"/>
    <s v="Hospitals"/>
    <n v="39611"/>
    <n v="24.928256765261171"/>
    <m/>
    <m/>
  </r>
  <r>
    <x v="1"/>
    <s v="Company Z"/>
    <s v="Syrup"/>
    <s v="100 mg/ml"/>
    <n v="60"/>
    <n v="1236"/>
    <s v="$5976"/>
    <x v="113"/>
    <x v="2"/>
    <s v="Peter Barron"/>
    <s v="Supermarkets"/>
    <n v="5976"/>
    <n v="4.8349514563106792"/>
    <m/>
    <m/>
  </r>
  <r>
    <x v="4"/>
    <s v="Company W"/>
    <s v="Capsule"/>
    <s v="100 mg/ml"/>
    <n v="30"/>
    <n v="406"/>
    <s v="$19800"/>
    <x v="90"/>
    <x v="0"/>
    <s v="Paige Davis"/>
    <s v="Online Pharmacy"/>
    <n v="19800"/>
    <n v="48.768472906403943"/>
    <m/>
    <m/>
  </r>
  <r>
    <x v="1"/>
    <s v="Company W"/>
    <s v="Capsule"/>
    <s v="250 mg"/>
    <n v="60"/>
    <n v="1477"/>
    <s v="$42087"/>
    <x v="159"/>
    <x v="4"/>
    <s v="Thomas Miller"/>
    <s v="Pharmacy"/>
    <n v="42087"/>
    <n v="28.494922139471903"/>
    <m/>
    <m/>
  </r>
  <r>
    <x v="2"/>
    <s v="Company Y"/>
    <s v="Syrup"/>
    <s v="100 mg/ml"/>
    <s v="100 ml"/>
    <n v="1684"/>
    <s v="$49229"/>
    <x v="72"/>
    <x v="3"/>
    <s v="Miss Sara Hamilton"/>
    <s v="Online Pharmacy"/>
    <n v="49229"/>
    <n v="29.233372921615203"/>
    <m/>
    <m/>
  </r>
  <r>
    <x v="2"/>
    <s v="Company Y"/>
    <s v="Cream"/>
    <s v="100 mg/ml"/>
    <s v="50 g"/>
    <n v="849"/>
    <s v="$45151"/>
    <x v="264"/>
    <x v="3"/>
    <s v="Brian Little"/>
    <s v="Online Pharmacy"/>
    <n v="45151"/>
    <n v="53.181389870435808"/>
    <m/>
    <m/>
  </r>
  <r>
    <x v="3"/>
    <s v="Company X"/>
    <s v="Tablet"/>
    <s v="500 mg"/>
    <s v="50 g"/>
    <n v="849"/>
    <s v="$39729"/>
    <x v="265"/>
    <x v="0"/>
    <s v="Charles White"/>
    <s v="Pharmacy"/>
    <n v="39729"/>
    <n v="46.795053003533567"/>
    <m/>
    <m/>
  </r>
  <r>
    <x v="4"/>
    <s v="Company W"/>
    <s v="Capsule"/>
    <s v="50 mg"/>
    <n v="30"/>
    <n v="1743"/>
    <s v="$11137"/>
    <x v="59"/>
    <x v="2"/>
    <s v="Elizabeth Carrillo"/>
    <s v="Clinics"/>
    <n v="11137"/>
    <n v="6.3895582329317273"/>
    <m/>
    <m/>
  </r>
  <r>
    <x v="1"/>
    <s v="Company Z"/>
    <s v="Injection"/>
    <s v="10 mg"/>
    <s v="50 g"/>
    <n v="359"/>
    <s v="$14269"/>
    <x v="43"/>
    <x v="4"/>
    <s v="Amber Garcia"/>
    <s v="Supermarkets"/>
    <n v="14269"/>
    <n v="39.746518105849582"/>
    <m/>
    <m/>
  </r>
  <r>
    <x v="0"/>
    <s v="Company Z"/>
    <s v="Tablet"/>
    <s v="100 mg/ml"/>
    <s v="100 ml"/>
    <n v="573"/>
    <s v="$4115"/>
    <x v="266"/>
    <x v="0"/>
    <s v="Katherine Velazquez"/>
    <s v="Supermarkets"/>
    <n v="4115"/>
    <n v="7.1815008726003491"/>
    <m/>
    <m/>
  </r>
  <r>
    <x v="0"/>
    <s v="Company W"/>
    <s v="Cream"/>
    <s v="500 mg"/>
    <s v="10 ml"/>
    <n v="1330"/>
    <s v="$28423"/>
    <x v="111"/>
    <x v="0"/>
    <s v="Brian Barnes"/>
    <s v="Pharmacy"/>
    <n v="28423"/>
    <n v="21.370676691729322"/>
    <m/>
    <m/>
  </r>
  <r>
    <x v="1"/>
    <s v="Company Z"/>
    <s v="Tablet"/>
    <s v="100 mg/ml"/>
    <n v="30"/>
    <n v="1087"/>
    <s v="$15485"/>
    <x v="144"/>
    <x v="2"/>
    <s v="Susan Osborne"/>
    <s v="Supermarkets"/>
    <n v="15485"/>
    <n v="14.245630174793009"/>
    <m/>
    <m/>
  </r>
  <r>
    <x v="0"/>
    <s v="Company W"/>
    <s v="Capsule"/>
    <s v="50 mg"/>
    <s v="100 ml"/>
    <n v="404"/>
    <s v="$8798"/>
    <x v="267"/>
    <x v="2"/>
    <s v="Robin Owens"/>
    <s v="Supermarkets"/>
    <n v="8798"/>
    <n v="21.777227722772277"/>
    <m/>
    <m/>
  </r>
  <r>
    <x v="3"/>
    <s v="Company X"/>
    <s v="Cream"/>
    <s v="250 mg"/>
    <n v="60"/>
    <n v="1641"/>
    <s v="$4850"/>
    <x v="165"/>
    <x v="4"/>
    <s v="Mr. Erik Bennett"/>
    <s v="Hospitals"/>
    <n v="4850"/>
    <n v="2.9555149299207799"/>
    <m/>
    <m/>
  </r>
  <r>
    <x v="4"/>
    <s v="Company X"/>
    <s v="Capsule"/>
    <s v="500 mg"/>
    <s v="50 g"/>
    <n v="1013"/>
    <s v="$38304"/>
    <x v="268"/>
    <x v="3"/>
    <s v="Sarah Whitney"/>
    <s v="Pharmacy"/>
    <n v="38304"/>
    <n v="37.812438302073048"/>
    <m/>
    <m/>
  </r>
  <r>
    <x v="1"/>
    <s v="Company Z"/>
    <s v="Injection"/>
    <s v="10 mg"/>
    <s v="10 ml"/>
    <n v="434"/>
    <s v="$32258"/>
    <x v="94"/>
    <x v="4"/>
    <s v="Thomas Mitchell"/>
    <s v="Clinics"/>
    <n v="32258"/>
    <n v="74.327188940092171"/>
    <m/>
    <m/>
  </r>
  <r>
    <x v="4"/>
    <s v="Company Y"/>
    <s v="Injection"/>
    <s v="50 mg"/>
    <n v="30"/>
    <n v="857"/>
    <s v="$25111"/>
    <x v="131"/>
    <x v="4"/>
    <s v="Thomas Houston"/>
    <s v="Hospitals"/>
    <n v="25111"/>
    <n v="29.301050175029172"/>
    <m/>
    <m/>
  </r>
  <r>
    <x v="1"/>
    <s v="Company V"/>
    <s v="Cream"/>
    <s v="250 mg"/>
    <n v="30"/>
    <n v="1215"/>
    <s v="$3802"/>
    <x v="269"/>
    <x v="0"/>
    <s v="Kathleen Jenkins DVM"/>
    <s v="Supermarkets"/>
    <n v="3802"/>
    <n v="3.1292181069958849"/>
    <m/>
    <m/>
  </r>
  <r>
    <x v="1"/>
    <s v="Company Y"/>
    <s v="Injection"/>
    <s v="250 mg"/>
    <n v="60"/>
    <n v="1206"/>
    <s v="$30473"/>
    <x v="112"/>
    <x v="2"/>
    <s v="Sara Gillespie"/>
    <s v="Hospitals"/>
    <n v="30473"/>
    <n v="25.267827529021559"/>
    <m/>
    <m/>
  </r>
  <r>
    <x v="3"/>
    <s v="Company V"/>
    <s v="Cream"/>
    <s v="100 mg/ml"/>
    <s v="50 g"/>
    <n v="1028"/>
    <s v="$26345"/>
    <x v="228"/>
    <x v="3"/>
    <s v="Jennifer Jones"/>
    <s v="Clinics"/>
    <n v="26345"/>
    <n v="25.627431906614785"/>
    <m/>
    <m/>
  </r>
  <r>
    <x v="0"/>
    <s v="Company X"/>
    <s v="Syrup"/>
    <s v="100 mg/ml"/>
    <s v="100 ml"/>
    <n v="1821"/>
    <s v="$49772"/>
    <x v="118"/>
    <x v="3"/>
    <s v="James Gonzalez"/>
    <s v="Clinics"/>
    <n v="49772"/>
    <n v="27.332235035694673"/>
    <m/>
    <m/>
  </r>
  <r>
    <x v="4"/>
    <s v="Company Z"/>
    <s v="Capsule"/>
    <s v="100 mg/ml"/>
    <s v="100 ml"/>
    <n v="187"/>
    <s v="$33824"/>
    <x v="92"/>
    <x v="4"/>
    <s v="Katherine George"/>
    <s v="Supermarkets"/>
    <n v="33824"/>
    <n v="180.87700534759358"/>
    <m/>
    <m/>
  </r>
  <r>
    <x v="3"/>
    <s v="Company Z"/>
    <s v="Capsule"/>
    <s v="250 mg"/>
    <s v="10 ml"/>
    <n v="1978"/>
    <s v="$10298"/>
    <x v="226"/>
    <x v="0"/>
    <s v="Melissa Spence"/>
    <s v="Online Pharmacy"/>
    <n v="10298"/>
    <n v="5.2062689585439834"/>
    <m/>
    <m/>
  </r>
  <r>
    <x v="4"/>
    <s v="Company W"/>
    <s v="Tablet"/>
    <s v="50 mg"/>
    <s v="50 g"/>
    <n v="310"/>
    <s v="$8780"/>
    <x v="270"/>
    <x v="0"/>
    <s v="Renee Thompson"/>
    <s v="Supermarkets"/>
    <n v="8780"/>
    <n v="28.322580645161292"/>
    <m/>
    <m/>
  </r>
  <r>
    <x v="2"/>
    <s v="Company V"/>
    <s v="Capsule"/>
    <s v="500 mg"/>
    <n v="30"/>
    <n v="1232"/>
    <s v="$14892"/>
    <x v="271"/>
    <x v="1"/>
    <s v="David Hall"/>
    <s v="Clinics"/>
    <n v="14892"/>
    <n v="12.087662337662337"/>
    <m/>
    <m/>
  </r>
  <r>
    <x v="1"/>
    <s v="Company W"/>
    <s v="Tablet"/>
    <s v="100 mg/ml"/>
    <s v="100 ml"/>
    <n v="1147"/>
    <s v="$31546"/>
    <x v="13"/>
    <x v="0"/>
    <s v="Patricia Herrera"/>
    <s v="Supermarkets"/>
    <n v="31546"/>
    <n v="27.503051438535309"/>
    <m/>
    <m/>
  </r>
  <r>
    <x v="4"/>
    <s v="Company V"/>
    <s v="Capsule"/>
    <s v="10 mg"/>
    <n v="60"/>
    <n v="157"/>
    <s v="$25507"/>
    <x v="272"/>
    <x v="2"/>
    <s v="Alan Sloan"/>
    <s v="Supermarkets"/>
    <n v="25507"/>
    <n v="162.46496815286625"/>
    <m/>
    <m/>
  </r>
  <r>
    <x v="3"/>
    <s v="Company X"/>
    <s v="Capsule"/>
    <s v="100 mg/ml"/>
    <n v="30"/>
    <n v="110"/>
    <s v="$48715"/>
    <x v="28"/>
    <x v="0"/>
    <s v="Tami Robles"/>
    <s v="Clinics"/>
    <n v="48715"/>
    <n v="442.86363636363637"/>
    <m/>
    <m/>
  </r>
  <r>
    <x v="2"/>
    <s v="Company V"/>
    <s v="Injection"/>
    <s v="50 mg"/>
    <s v="100 ml"/>
    <n v="1496"/>
    <s v="$30359"/>
    <x v="33"/>
    <x v="3"/>
    <s v="Edgar Hughes"/>
    <s v="Online Pharmacy"/>
    <n v="30359"/>
    <n v="20.293449197860962"/>
    <m/>
    <m/>
  </r>
  <r>
    <x v="4"/>
    <s v="Company V"/>
    <s v="Syrup"/>
    <s v="50 mg"/>
    <s v="50 g"/>
    <n v="1677"/>
    <s v="$14519"/>
    <x v="72"/>
    <x v="1"/>
    <s v="Melissa Gonzalez"/>
    <s v="Clinics"/>
    <n v="14519"/>
    <n v="8.6577221228384023"/>
    <m/>
    <m/>
  </r>
  <r>
    <x v="2"/>
    <s v="Company Y"/>
    <s v="Syrup"/>
    <s v="10 mg"/>
    <n v="30"/>
    <n v="103"/>
    <s v="$39963"/>
    <x v="189"/>
    <x v="4"/>
    <s v="Joseph Gregory"/>
    <s v="Supermarkets"/>
    <n v="39963"/>
    <n v="387.99029126213594"/>
    <m/>
    <m/>
  </r>
  <r>
    <x v="4"/>
    <s v="Company W"/>
    <s v="Cream"/>
    <s v="250 mg"/>
    <n v="30"/>
    <n v="621"/>
    <s v="$14108"/>
    <x v="175"/>
    <x v="1"/>
    <s v="Daniel Bray"/>
    <s v="Pharmacy"/>
    <n v="14108"/>
    <n v="22.718196457326894"/>
    <m/>
    <m/>
  </r>
  <r>
    <x v="0"/>
    <s v="Company V"/>
    <s v="Tablet"/>
    <s v="500 mg"/>
    <n v="30"/>
    <n v="467"/>
    <s v="$42438"/>
    <x v="32"/>
    <x v="4"/>
    <s v="Angela Gibson"/>
    <s v="Hospitals"/>
    <n v="42438"/>
    <n v="90.873661670235549"/>
    <m/>
    <m/>
  </r>
  <r>
    <x v="3"/>
    <s v="Company V"/>
    <s v="Syrup"/>
    <s v="50 mg"/>
    <n v="60"/>
    <n v="528"/>
    <s v="$12478"/>
    <x v="209"/>
    <x v="2"/>
    <s v="Luke Moore"/>
    <s v="Pharmacy"/>
    <n v="12478"/>
    <n v="23.632575757575758"/>
    <m/>
    <m/>
  </r>
  <r>
    <x v="0"/>
    <s v="Company Y"/>
    <s v="Syrup"/>
    <s v="100 mg/ml"/>
    <n v="30"/>
    <n v="651"/>
    <s v="$43294"/>
    <x v="55"/>
    <x v="1"/>
    <s v="Darren Allen"/>
    <s v="Pharmacy"/>
    <n v="43294"/>
    <n v="66.503840245775734"/>
    <m/>
    <m/>
  </r>
  <r>
    <x v="2"/>
    <s v="Company Y"/>
    <s v="Capsule"/>
    <s v="250 mg"/>
    <s v="100 ml"/>
    <n v="213"/>
    <s v="$41727"/>
    <x v="142"/>
    <x v="2"/>
    <s v="Sarah Gallagher"/>
    <s v="Online Pharmacy"/>
    <n v="41727"/>
    <n v="195.90140845070422"/>
    <m/>
    <m/>
  </r>
  <r>
    <x v="3"/>
    <s v="Company Y"/>
    <s v="Cream"/>
    <s v="250 mg"/>
    <s v="50 g"/>
    <n v="1808"/>
    <s v="$18900"/>
    <x v="123"/>
    <x v="2"/>
    <s v="Scott Chandler"/>
    <s v="Hospitals"/>
    <n v="18900"/>
    <n v="10.45353982300885"/>
    <m/>
    <m/>
  </r>
  <r>
    <x v="0"/>
    <s v="Company Z"/>
    <s v="Tablet"/>
    <s v="100 mg/ml"/>
    <n v="30"/>
    <n v="979"/>
    <s v="$33935"/>
    <x v="119"/>
    <x v="3"/>
    <s v="Kathy Ward"/>
    <s v="Online Pharmacy"/>
    <n v="33935"/>
    <n v="34.662921348314605"/>
    <m/>
    <m/>
  </r>
  <r>
    <x v="1"/>
    <s v="Company W"/>
    <s v="Injection"/>
    <s v="100 mg/ml"/>
    <s v="10 ml"/>
    <n v="903"/>
    <s v="$29491"/>
    <x v="231"/>
    <x v="1"/>
    <s v="Anthony Gutierrez"/>
    <s v="Online Pharmacy"/>
    <n v="29491"/>
    <n v="32.65891472868217"/>
    <m/>
    <m/>
  </r>
  <r>
    <x v="4"/>
    <s v="Company Z"/>
    <s v="Tablet"/>
    <s v="500 mg"/>
    <s v="10 ml"/>
    <n v="1873"/>
    <s v="$47958"/>
    <x v="273"/>
    <x v="0"/>
    <s v="Sharon Weiss"/>
    <s v="Hospitals"/>
    <n v="47958"/>
    <n v="25.604911906033102"/>
    <m/>
    <m/>
  </r>
  <r>
    <x v="4"/>
    <s v="Company X"/>
    <s v="Syrup"/>
    <s v="100 mg/ml"/>
    <n v="30"/>
    <n v="1575"/>
    <s v="$39809"/>
    <x v="169"/>
    <x v="2"/>
    <s v="Monica Brown"/>
    <s v="Clinics"/>
    <n v="39809"/>
    <n v="25.275555555555556"/>
    <m/>
    <m/>
  </r>
  <r>
    <x v="3"/>
    <s v="Company V"/>
    <s v="Tablet"/>
    <s v="50 mg"/>
    <n v="60"/>
    <n v="1178"/>
    <s v="$26564"/>
    <x v="57"/>
    <x v="2"/>
    <s v="Stephanie Savage"/>
    <s v="Online Pharmacy"/>
    <n v="26564"/>
    <n v="22.550084889643465"/>
    <m/>
    <m/>
  </r>
  <r>
    <x v="2"/>
    <s v="Company Y"/>
    <s v="Syrup"/>
    <s v="10 mg"/>
    <n v="30"/>
    <n v="136"/>
    <s v="$28942"/>
    <x v="274"/>
    <x v="3"/>
    <s v="Miguel Harrell"/>
    <s v="Supermarkets"/>
    <n v="28942"/>
    <n v="212.80882352941177"/>
    <m/>
    <m/>
  </r>
  <r>
    <x v="2"/>
    <s v="Company W"/>
    <s v="Tablet"/>
    <s v="250 mg"/>
    <s v="50 g"/>
    <n v="177"/>
    <s v="$38415"/>
    <x v="179"/>
    <x v="3"/>
    <s v="Carol Sullivan"/>
    <s v="Supermarkets"/>
    <n v="38415"/>
    <n v="217.03389830508473"/>
    <m/>
    <m/>
  </r>
  <r>
    <x v="2"/>
    <s v="Company V"/>
    <s v="Capsule"/>
    <s v="500 mg"/>
    <s v="10 ml"/>
    <n v="267"/>
    <s v="$37982"/>
    <x v="152"/>
    <x v="1"/>
    <s v="Amanda Adams"/>
    <s v="Online Pharmacy"/>
    <n v="37982"/>
    <n v="142.25468164794009"/>
    <m/>
    <m/>
  </r>
  <r>
    <x v="3"/>
    <s v="Company Y"/>
    <s v="Syrup"/>
    <s v="10 mg"/>
    <s v="10 ml"/>
    <n v="539"/>
    <s v="$28332"/>
    <x v="198"/>
    <x v="0"/>
    <s v="Heather Shah"/>
    <s v="Hospitals"/>
    <n v="28332"/>
    <n v="52.564007421150279"/>
    <m/>
    <m/>
  </r>
  <r>
    <x v="0"/>
    <s v="Company Y"/>
    <s v="Cream"/>
    <s v="100 mg/ml"/>
    <s v="100 ml"/>
    <n v="1637"/>
    <s v="$28078"/>
    <x v="275"/>
    <x v="0"/>
    <s v="Michael Wright"/>
    <s v="Pharmacy"/>
    <n v="28078"/>
    <n v="17.152107513744657"/>
    <m/>
    <m/>
  </r>
  <r>
    <x v="1"/>
    <s v="Company V"/>
    <s v="Injection"/>
    <s v="100 mg/ml"/>
    <s v="50 g"/>
    <n v="895"/>
    <s v="$1117"/>
    <x v="188"/>
    <x v="1"/>
    <s v="Rachel Chavez"/>
    <s v="Hospitals"/>
    <n v="1117"/>
    <n v="1.2480446927374302"/>
    <m/>
    <m/>
  </r>
  <r>
    <x v="3"/>
    <s v="Company Z"/>
    <s v="Syrup"/>
    <s v="100 mg/ml"/>
    <s v="50 g"/>
    <n v="545"/>
    <s v="$7812"/>
    <x v="20"/>
    <x v="1"/>
    <s v="Alexander Moore"/>
    <s v="Clinics"/>
    <n v="7812"/>
    <n v="14.333944954128441"/>
    <m/>
    <m/>
  </r>
  <r>
    <x v="4"/>
    <s v="Company Y"/>
    <s v="Syrup"/>
    <s v="10 mg"/>
    <n v="60"/>
    <n v="809"/>
    <s v="$34972"/>
    <x v="265"/>
    <x v="2"/>
    <s v="Michael Scott"/>
    <s v="Hospitals"/>
    <n v="34972"/>
    <n v="43.228677379480843"/>
    <m/>
    <m/>
  </r>
  <r>
    <x v="1"/>
    <s v="Company X"/>
    <s v="Capsule"/>
    <s v="50 mg"/>
    <s v="50 g"/>
    <n v="251"/>
    <s v="$33441"/>
    <x v="276"/>
    <x v="3"/>
    <s v="Miranda Price"/>
    <s v="Pharmacy"/>
    <n v="33441"/>
    <n v="133.23107569721117"/>
    <m/>
    <m/>
  </r>
  <r>
    <x v="4"/>
    <s v="Company X"/>
    <s v="Cream"/>
    <s v="100 mg/ml"/>
    <s v="50 g"/>
    <n v="954"/>
    <s v="$6130"/>
    <x v="277"/>
    <x v="1"/>
    <s v="Harold Sullivan"/>
    <s v="Pharmacy"/>
    <n v="6130"/>
    <n v="6.4255765199161425"/>
    <m/>
    <m/>
  </r>
  <r>
    <x v="0"/>
    <s v="Company V"/>
    <s v="Syrup"/>
    <s v="500 mg"/>
    <s v="50 g"/>
    <n v="1105"/>
    <s v="$9186"/>
    <x v="199"/>
    <x v="4"/>
    <s v="Renee Barton"/>
    <s v="Hospitals"/>
    <n v="9186"/>
    <n v="8.313122171945702"/>
    <m/>
    <m/>
  </r>
  <r>
    <x v="3"/>
    <s v="Company Z"/>
    <s v="Capsule"/>
    <s v="50 mg"/>
    <s v="50 g"/>
    <n v="280"/>
    <s v="$41256"/>
    <x v="278"/>
    <x v="2"/>
    <s v="Kevin Patterson"/>
    <s v="Pharmacy"/>
    <n v="41256"/>
    <n v="147.34285714285716"/>
    <m/>
    <m/>
  </r>
  <r>
    <x v="2"/>
    <s v="Company Z"/>
    <s v="Syrup"/>
    <s v="250 mg"/>
    <n v="30"/>
    <n v="357"/>
    <s v="$2350"/>
    <x v="279"/>
    <x v="0"/>
    <s v="Philip Bennett"/>
    <s v="Online Pharmacy"/>
    <n v="2350"/>
    <n v="6.5826330532212882"/>
    <m/>
    <m/>
  </r>
  <r>
    <x v="0"/>
    <s v="Company V"/>
    <s v="Cream"/>
    <s v="50 mg"/>
    <n v="60"/>
    <n v="1476"/>
    <s v="$21861"/>
    <x v="280"/>
    <x v="2"/>
    <s v="David Walker"/>
    <s v="Pharmacy"/>
    <n v="21861"/>
    <n v="14.810975609756097"/>
    <m/>
    <m/>
  </r>
  <r>
    <x v="1"/>
    <s v="Company V"/>
    <s v="Cream"/>
    <s v="10 mg"/>
    <s v="100 ml"/>
    <n v="1448"/>
    <s v="$37724"/>
    <x v="50"/>
    <x v="3"/>
    <s v="Sara Hill"/>
    <s v="Clinics"/>
    <n v="37724"/>
    <n v="26.052486187845304"/>
    <m/>
    <m/>
  </r>
  <r>
    <x v="4"/>
    <s v="Company Y"/>
    <s v="Syrup"/>
    <s v="100 mg/ml"/>
    <s v="50 g"/>
    <n v="1191"/>
    <s v="$27570"/>
    <x v="239"/>
    <x v="3"/>
    <s v="Ethan Lewis"/>
    <s v="Hospitals"/>
    <n v="27570"/>
    <n v="23.148614609571787"/>
    <m/>
    <m/>
  </r>
  <r>
    <x v="0"/>
    <s v="Company X"/>
    <s v="Cream"/>
    <s v="250 mg"/>
    <s v="50 g"/>
    <n v="451"/>
    <s v="$18899"/>
    <x v="126"/>
    <x v="4"/>
    <s v="Cassandra Marshall"/>
    <s v="Pharmacy"/>
    <n v="18899"/>
    <n v="41.904656319290467"/>
    <m/>
    <m/>
  </r>
  <r>
    <x v="0"/>
    <s v="Company W"/>
    <s v="Capsule"/>
    <s v="50 mg"/>
    <n v="60"/>
    <n v="1978"/>
    <s v="$23993"/>
    <x v="206"/>
    <x v="3"/>
    <s v="Michael Miller"/>
    <s v="Pharmacy"/>
    <n v="23993"/>
    <n v="12.129929221435793"/>
    <m/>
    <m/>
  </r>
  <r>
    <x v="4"/>
    <s v="Company V"/>
    <s v="Injection"/>
    <s v="10 mg"/>
    <s v="100 ml"/>
    <n v="403"/>
    <s v="$4075"/>
    <x v="88"/>
    <x v="0"/>
    <s v="Brenda Rice"/>
    <s v="Hospitals"/>
    <n v="4075"/>
    <n v="10.11166253101737"/>
    <m/>
    <m/>
  </r>
  <r>
    <x v="4"/>
    <s v="Company X"/>
    <s v="Cream"/>
    <s v="10 mg"/>
    <s v="50 g"/>
    <n v="309"/>
    <s v="$38835"/>
    <x v="30"/>
    <x v="4"/>
    <s v="Megan Ingram"/>
    <s v="Hospitals"/>
    <n v="38835"/>
    <n v="125.67961165048544"/>
    <m/>
    <m/>
  </r>
  <r>
    <x v="2"/>
    <s v="Company W"/>
    <s v="Injection"/>
    <s v="10 mg"/>
    <s v="10 ml"/>
    <n v="1448"/>
    <s v="$13865"/>
    <x v="50"/>
    <x v="0"/>
    <s v="Kevin Campbell"/>
    <s v="Supermarkets"/>
    <n v="13865"/>
    <n v="9.5752762430939224"/>
    <m/>
    <m/>
  </r>
  <r>
    <x v="4"/>
    <s v="Company W"/>
    <s v="Cream"/>
    <s v="100 mg/ml"/>
    <s v="50 g"/>
    <n v="704"/>
    <s v="$12836"/>
    <x v="168"/>
    <x v="1"/>
    <s v="Kelly Green"/>
    <s v="Clinics"/>
    <n v="12836"/>
    <n v="18.232954545454547"/>
    <m/>
    <m/>
  </r>
  <r>
    <x v="0"/>
    <s v="Company Y"/>
    <s v="Syrup"/>
    <s v="10 mg"/>
    <n v="30"/>
    <n v="165"/>
    <s v="$32484"/>
    <x v="187"/>
    <x v="1"/>
    <s v="Terri Hernandez"/>
    <s v="Pharmacy"/>
    <n v="32484"/>
    <n v="196.87272727272727"/>
    <m/>
    <m/>
  </r>
  <r>
    <x v="0"/>
    <s v="Company W"/>
    <s v="Capsule"/>
    <s v="250 mg"/>
    <s v="10 ml"/>
    <n v="1824"/>
    <s v="$12594"/>
    <x v="26"/>
    <x v="0"/>
    <s v="Morgan Kelly"/>
    <s v="Hospitals"/>
    <n v="12594"/>
    <n v="6.9046052631578947"/>
    <m/>
    <m/>
  </r>
  <r>
    <x v="3"/>
    <s v="Company Y"/>
    <s v="Tablet"/>
    <s v="50 mg"/>
    <s v="10 ml"/>
    <n v="1553"/>
    <s v="$35920"/>
    <x v="233"/>
    <x v="3"/>
    <s v="Brenda Stewart"/>
    <s v="Pharmacy"/>
    <n v="35920"/>
    <n v="23.129426915647134"/>
    <m/>
    <m/>
  </r>
  <r>
    <x v="1"/>
    <s v="Company W"/>
    <s v="Tablet"/>
    <s v="250 mg"/>
    <n v="30"/>
    <n v="1114"/>
    <s v="$45080"/>
    <x v="235"/>
    <x v="1"/>
    <s v="Patrick Hunt"/>
    <s v="Hospitals"/>
    <n v="45080"/>
    <n v="40.466786355475762"/>
    <m/>
    <m/>
  </r>
  <r>
    <x v="2"/>
    <s v="Company Y"/>
    <s v="Cream"/>
    <s v="100 mg/ml"/>
    <n v="60"/>
    <n v="1746"/>
    <s v="$7097"/>
    <x v="43"/>
    <x v="2"/>
    <s v="Natalie Parks"/>
    <s v="Supermarkets"/>
    <n v="7097"/>
    <n v="4.0647193585337913"/>
    <m/>
    <m/>
  </r>
  <r>
    <x v="4"/>
    <s v="Company V"/>
    <s v="Capsule"/>
    <s v="10 mg"/>
    <n v="30"/>
    <n v="1468"/>
    <s v="$32272"/>
    <x v="161"/>
    <x v="0"/>
    <s v="Shirley Hawkins"/>
    <s v="Supermarkets"/>
    <n v="32272"/>
    <n v="21.983651226158038"/>
    <m/>
    <m/>
  </r>
  <r>
    <x v="0"/>
    <s v="Company V"/>
    <s v="Injection"/>
    <s v="500 mg"/>
    <s v="50 g"/>
    <n v="230"/>
    <s v="$41305"/>
    <x v="281"/>
    <x v="3"/>
    <s v="John Serrano"/>
    <s v="Clinics"/>
    <n v="41305"/>
    <n v="179.58695652173913"/>
    <m/>
    <m/>
  </r>
  <r>
    <x v="1"/>
    <s v="Company X"/>
    <s v="Capsule"/>
    <s v="500 mg"/>
    <s v="50 g"/>
    <n v="776"/>
    <s v="$6165"/>
    <x v="32"/>
    <x v="2"/>
    <s v="Brian Young"/>
    <s v="Hospitals"/>
    <n v="6165"/>
    <n v="7.9445876288659791"/>
    <m/>
    <m/>
  </r>
  <r>
    <x v="1"/>
    <s v="Company W"/>
    <s v="Tablet"/>
    <s v="500 mg"/>
    <s v="50 g"/>
    <n v="1071"/>
    <s v="$3760"/>
    <x v="186"/>
    <x v="3"/>
    <s v="Elizabeth Collins"/>
    <s v="Hospitals"/>
    <n v="3760"/>
    <n v="3.5107376283846872"/>
    <m/>
    <m/>
  </r>
  <r>
    <x v="0"/>
    <s v="Company Z"/>
    <s v="Capsule"/>
    <s v="500 mg"/>
    <s v="50 g"/>
    <n v="1137"/>
    <s v="$1699"/>
    <x v="142"/>
    <x v="3"/>
    <s v="Sabrina Campbell"/>
    <s v="Supermarkets"/>
    <n v="1699"/>
    <n v="1.494283201407212"/>
    <m/>
    <m/>
  </r>
  <r>
    <x v="3"/>
    <s v="Company Y"/>
    <s v="Capsule"/>
    <s v="10 mg"/>
    <n v="60"/>
    <n v="787"/>
    <s v="$47912"/>
    <x v="78"/>
    <x v="0"/>
    <s v="Katrina Horn"/>
    <s v="Online Pharmacy"/>
    <n v="47912"/>
    <n v="60.879288437102922"/>
    <m/>
    <m/>
  </r>
  <r>
    <x v="4"/>
    <s v="Company Y"/>
    <s v="Injection"/>
    <s v="250 mg"/>
    <n v="30"/>
    <n v="1479"/>
    <s v="$33505"/>
    <x v="282"/>
    <x v="0"/>
    <s v="Jennifer Oconnell"/>
    <s v="Pharmacy"/>
    <n v="33505"/>
    <n v="22.653820148749155"/>
    <m/>
    <m/>
  </r>
  <r>
    <x v="2"/>
    <s v="Company V"/>
    <s v="Capsule"/>
    <s v="500 mg"/>
    <s v="100 ml"/>
    <n v="405"/>
    <s v="$23360"/>
    <x v="82"/>
    <x v="0"/>
    <s v="Jenny Cook"/>
    <s v="Online Pharmacy"/>
    <n v="23360"/>
    <n v="57.679012345679013"/>
    <m/>
    <m/>
  </r>
  <r>
    <x v="2"/>
    <s v="Company W"/>
    <s v="Cream"/>
    <s v="50 mg"/>
    <s v="10 ml"/>
    <n v="470"/>
    <s v="$45836"/>
    <x v="114"/>
    <x v="0"/>
    <s v="Hannah Wright"/>
    <s v="Online Pharmacy"/>
    <n v="45836"/>
    <n v="97.52340425531915"/>
    <m/>
    <m/>
  </r>
  <r>
    <x v="4"/>
    <s v="Company W"/>
    <s v="Capsule"/>
    <s v="10 mg"/>
    <s v="50 g"/>
    <n v="1864"/>
    <s v="$26663"/>
    <x v="161"/>
    <x v="0"/>
    <s v="Michael Perkins"/>
    <s v="Pharmacy"/>
    <n v="26663"/>
    <n v="14.304184549356224"/>
    <m/>
    <m/>
  </r>
  <r>
    <x v="0"/>
    <s v="Company X"/>
    <s v="Tablet"/>
    <s v="500 mg"/>
    <s v="50 g"/>
    <n v="1610"/>
    <s v="$22700"/>
    <x v="283"/>
    <x v="3"/>
    <s v="Scott Fowler"/>
    <s v="Clinics"/>
    <n v="22700"/>
    <n v="14.099378881987578"/>
    <m/>
    <m/>
  </r>
  <r>
    <x v="3"/>
    <s v="Company X"/>
    <s v="Cream"/>
    <s v="10 mg"/>
    <s v="10 ml"/>
    <n v="1247"/>
    <s v="$23054"/>
    <x v="51"/>
    <x v="1"/>
    <s v="Julie Fisher"/>
    <s v="Hospitals"/>
    <n v="23054"/>
    <n v="18.487570168404169"/>
    <m/>
    <m/>
  </r>
  <r>
    <x v="1"/>
    <s v="Company W"/>
    <s v="Injection"/>
    <s v="50 mg"/>
    <n v="60"/>
    <n v="1515"/>
    <s v="$37393"/>
    <x v="6"/>
    <x v="4"/>
    <s v="Troy Kennedy"/>
    <s v="Hospitals"/>
    <n v="37393"/>
    <n v="24.681848184818481"/>
    <m/>
    <m/>
  </r>
  <r>
    <x v="1"/>
    <s v="Company X"/>
    <s v="Syrup"/>
    <s v="500 mg"/>
    <n v="30"/>
    <n v="1064"/>
    <s v="$11558"/>
    <x v="129"/>
    <x v="3"/>
    <s v="Jill Howard"/>
    <s v="Online Pharmacy"/>
    <n v="11558"/>
    <n v="10.862781954887218"/>
    <m/>
    <m/>
  </r>
  <r>
    <x v="3"/>
    <s v="Company Z"/>
    <s v="Syrup"/>
    <s v="100 mg/ml"/>
    <s v="50 g"/>
    <n v="336"/>
    <s v="$7855"/>
    <x v="163"/>
    <x v="2"/>
    <s v="Miranda Jones"/>
    <s v="Supermarkets"/>
    <n v="7855"/>
    <n v="23.37797619047619"/>
    <m/>
    <m/>
  </r>
  <r>
    <x v="2"/>
    <s v="Company V"/>
    <s v="Tablet"/>
    <s v="500 mg"/>
    <s v="50 g"/>
    <n v="1334"/>
    <s v="$30566"/>
    <x v="120"/>
    <x v="4"/>
    <s v="Jasmine Frank"/>
    <s v="Pharmacy"/>
    <n v="30566"/>
    <n v="22.913043478260871"/>
    <m/>
    <m/>
  </r>
  <r>
    <x v="4"/>
    <s v="Company X"/>
    <s v="Cream"/>
    <s v="500 mg"/>
    <s v="100 ml"/>
    <n v="472"/>
    <s v="$23247"/>
    <x v="275"/>
    <x v="2"/>
    <s v="Ashlee Macdonald"/>
    <s v="Hospitals"/>
    <n v="23247"/>
    <n v="49.252118644067799"/>
    <m/>
    <m/>
  </r>
  <r>
    <x v="4"/>
    <s v="Company V"/>
    <s v="Capsule"/>
    <s v="50 mg"/>
    <s v="100 ml"/>
    <n v="169"/>
    <s v="$18665"/>
    <x v="95"/>
    <x v="3"/>
    <s v="Lori Maldonado"/>
    <s v="Pharmacy"/>
    <n v="18665"/>
    <n v="110.44378698224853"/>
    <m/>
    <m/>
  </r>
  <r>
    <x v="2"/>
    <s v="Company Y"/>
    <s v="Syrup"/>
    <s v="100 mg/ml"/>
    <s v="100 ml"/>
    <n v="150"/>
    <s v="$8735"/>
    <x v="93"/>
    <x v="4"/>
    <s v="Kristy Taylor"/>
    <s v="Supermarkets"/>
    <n v="8735"/>
    <n v="58.233333333333334"/>
    <m/>
    <m/>
  </r>
  <r>
    <x v="4"/>
    <s v="Company V"/>
    <s v="Injection"/>
    <s v="100 mg/ml"/>
    <s v="10 ml"/>
    <n v="1503"/>
    <s v="$19148"/>
    <x v="134"/>
    <x v="4"/>
    <s v="Hunter Nguyen"/>
    <s v="Clinics"/>
    <n v="19148"/>
    <n v="12.739853626081171"/>
    <m/>
    <m/>
  </r>
  <r>
    <x v="3"/>
    <s v="Company X"/>
    <s v="Syrup"/>
    <s v="100 mg/ml"/>
    <s v="50 g"/>
    <n v="355"/>
    <s v="$33093"/>
    <x v="9"/>
    <x v="4"/>
    <s v="Zachary Dyer"/>
    <s v="Hospitals"/>
    <n v="33093"/>
    <n v="93.219718309859161"/>
    <m/>
    <m/>
  </r>
  <r>
    <x v="3"/>
    <s v="Company W"/>
    <s v="Injection"/>
    <s v="100 mg/ml"/>
    <s v="50 g"/>
    <n v="1215"/>
    <s v="$12727"/>
    <x v="59"/>
    <x v="4"/>
    <s v="James Lee"/>
    <s v="Pharmacy"/>
    <n v="12727"/>
    <n v="10.474897119341565"/>
    <m/>
    <m/>
  </r>
  <r>
    <x v="4"/>
    <s v="Company V"/>
    <s v="Tablet"/>
    <s v="50 mg"/>
    <s v="50 g"/>
    <n v="857"/>
    <s v="$26479"/>
    <x v="246"/>
    <x v="2"/>
    <s v="Phillip Adkins"/>
    <s v="Pharmacy"/>
    <n v="26479"/>
    <n v="30.897316219369895"/>
    <m/>
    <m/>
  </r>
  <r>
    <x v="1"/>
    <s v="Company W"/>
    <s v="Cream"/>
    <s v="250 mg"/>
    <s v="100 ml"/>
    <n v="914"/>
    <s v="$28345"/>
    <x v="77"/>
    <x v="1"/>
    <s v="Roger Larsen"/>
    <s v="Hospitals"/>
    <n v="28345"/>
    <n v="31.01203501094092"/>
    <m/>
    <m/>
  </r>
  <r>
    <x v="1"/>
    <s v="Company V"/>
    <s v="Tablet"/>
    <s v="100 mg/ml"/>
    <s v="100 ml"/>
    <n v="1513"/>
    <s v="$16791"/>
    <x v="100"/>
    <x v="0"/>
    <s v="Rebecca Vargas"/>
    <s v="Supermarkets"/>
    <n v="16791"/>
    <n v="11.097818902842036"/>
    <m/>
    <m/>
  </r>
  <r>
    <x v="4"/>
    <s v="Company V"/>
    <s v="Injection"/>
    <s v="500 mg"/>
    <s v="100 ml"/>
    <n v="809"/>
    <s v="$1788"/>
    <x v="280"/>
    <x v="0"/>
    <s v="Karen Kent"/>
    <s v="Online Pharmacy"/>
    <n v="1788"/>
    <n v="2.2101359703337455"/>
    <m/>
    <m/>
  </r>
  <r>
    <x v="3"/>
    <s v="Company X"/>
    <s v="Tablet"/>
    <s v="10 mg"/>
    <s v="10 ml"/>
    <n v="1696"/>
    <s v="$42076"/>
    <x v="124"/>
    <x v="1"/>
    <s v="Heather Dawson"/>
    <s v="Pharmacy"/>
    <n v="42076"/>
    <n v="24.808962264150942"/>
    <m/>
    <m/>
  </r>
  <r>
    <x v="4"/>
    <s v="Company V"/>
    <s v="Cream"/>
    <s v="500 mg"/>
    <s v="50 g"/>
    <n v="1943"/>
    <s v="$42637"/>
    <x v="83"/>
    <x v="4"/>
    <s v="Carrie Reese"/>
    <s v="Online Pharmacy"/>
    <n v="42637"/>
    <n v="21.943901183736489"/>
    <m/>
    <m/>
  </r>
  <r>
    <x v="0"/>
    <s v="Company W"/>
    <s v="Cream"/>
    <s v="100 mg/ml"/>
    <s v="10 ml"/>
    <n v="794"/>
    <s v="$5918"/>
    <x v="32"/>
    <x v="1"/>
    <s v="Kevin Parker"/>
    <s v="Hospitals"/>
    <n v="5918"/>
    <n v="7.4534005037783375"/>
    <m/>
    <m/>
  </r>
  <r>
    <x v="3"/>
    <s v="Company Y"/>
    <s v="Cream"/>
    <s v="500 mg"/>
    <n v="60"/>
    <n v="601"/>
    <s v="$7096"/>
    <x v="284"/>
    <x v="3"/>
    <s v="Christina Miller"/>
    <s v="Pharmacy"/>
    <n v="7096"/>
    <n v="11.806988352745424"/>
    <m/>
    <m/>
  </r>
  <r>
    <x v="4"/>
    <s v="Company W"/>
    <s v="Cream"/>
    <s v="100 mg/ml"/>
    <n v="30"/>
    <n v="1954"/>
    <s v="$14676"/>
    <x v="275"/>
    <x v="1"/>
    <s v="John Cruz"/>
    <s v="Online Pharmacy"/>
    <n v="14676"/>
    <n v="7.5107471852610033"/>
    <m/>
    <m/>
  </r>
  <r>
    <x v="4"/>
    <s v="Company Y"/>
    <s v="Tablet"/>
    <s v="10 mg"/>
    <n v="30"/>
    <n v="301"/>
    <s v="$28337"/>
    <x v="134"/>
    <x v="1"/>
    <s v="Tommy Wise"/>
    <s v="Pharmacy"/>
    <n v="28337"/>
    <n v="94.142857142857139"/>
    <m/>
    <m/>
  </r>
  <r>
    <x v="4"/>
    <s v="Company Z"/>
    <s v="Cream"/>
    <s v="250 mg"/>
    <s v="50 g"/>
    <n v="648"/>
    <s v="$34565"/>
    <x v="85"/>
    <x v="0"/>
    <s v="James Gutierrez"/>
    <s v="Online Pharmacy"/>
    <n v="34565"/>
    <n v="53.341049382716051"/>
    <m/>
    <m/>
  </r>
  <r>
    <x v="1"/>
    <s v="Company W"/>
    <s v="Injection"/>
    <s v="10 mg"/>
    <s v="50 g"/>
    <n v="508"/>
    <s v="$9190"/>
    <x v="285"/>
    <x v="1"/>
    <s v="Jill Mitchell"/>
    <s v="Hospitals"/>
    <n v="9190"/>
    <n v="18.090551181102363"/>
    <m/>
    <m/>
  </r>
  <r>
    <x v="1"/>
    <s v="Company Y"/>
    <s v="Injection"/>
    <s v="100 mg/ml"/>
    <n v="30"/>
    <n v="1259"/>
    <s v="$21505"/>
    <x v="153"/>
    <x v="3"/>
    <s v="Katherine Glover"/>
    <s v="Online Pharmacy"/>
    <n v="21505"/>
    <n v="17.081016679904685"/>
    <m/>
    <m/>
  </r>
  <r>
    <x v="2"/>
    <s v="Company Y"/>
    <s v="Injection"/>
    <s v="100 mg/ml"/>
    <n v="60"/>
    <n v="1922"/>
    <s v="$5404"/>
    <x v="46"/>
    <x v="1"/>
    <s v="Christopher Adams"/>
    <s v="Hospitals"/>
    <n v="5404"/>
    <n v="2.8116545265348596"/>
    <m/>
    <m/>
  </r>
  <r>
    <x v="2"/>
    <s v="Company W"/>
    <s v="Tablet"/>
    <s v="100 mg/ml"/>
    <s v="100 ml"/>
    <n v="1769"/>
    <s v="$49043"/>
    <x v="87"/>
    <x v="0"/>
    <s v="Katrina Reid"/>
    <s v="Online Pharmacy"/>
    <n v="49043"/>
    <n v="27.723572639909552"/>
    <m/>
    <m/>
  </r>
  <r>
    <x v="0"/>
    <s v="Company Y"/>
    <s v="Capsule"/>
    <s v="50 mg"/>
    <s v="100 ml"/>
    <n v="348"/>
    <s v="$40962"/>
    <x v="276"/>
    <x v="0"/>
    <s v="Luis Wood"/>
    <s v="Hospitals"/>
    <n v="40962"/>
    <n v="117.70689655172414"/>
    <m/>
    <m/>
  </r>
  <r>
    <x v="2"/>
    <s v="Company Y"/>
    <s v="Cream"/>
    <s v="50 mg"/>
    <s v="50 g"/>
    <n v="317"/>
    <s v="$17536"/>
    <x v="286"/>
    <x v="1"/>
    <s v="Robert Greer"/>
    <s v="Supermarkets"/>
    <n v="17536"/>
    <n v="55.318611987381701"/>
    <m/>
    <m/>
  </r>
  <r>
    <x v="4"/>
    <s v="Company X"/>
    <s v="Tablet"/>
    <s v="250 mg"/>
    <s v="100 ml"/>
    <n v="832"/>
    <s v="$14813"/>
    <x v="132"/>
    <x v="4"/>
    <s v="Michele Nguyen"/>
    <s v="Supermarkets"/>
    <n v="14813"/>
    <n v="17.80408653846154"/>
    <m/>
    <m/>
  </r>
  <r>
    <x v="0"/>
    <s v="Company W"/>
    <s v="Injection"/>
    <s v="50 mg"/>
    <s v="50 g"/>
    <n v="1217"/>
    <s v="$44230"/>
    <x v="246"/>
    <x v="2"/>
    <s v="Tiffany Lewis"/>
    <s v="Clinics"/>
    <n v="44230"/>
    <n v="36.343467543138864"/>
    <m/>
    <m/>
  </r>
  <r>
    <x v="0"/>
    <s v="Company V"/>
    <s v="Tablet"/>
    <s v="10 mg"/>
    <n v="30"/>
    <n v="987"/>
    <s v="$46351"/>
    <x v="83"/>
    <x v="2"/>
    <s v="Charles Ellis"/>
    <s v="Pharmacy"/>
    <n v="46351"/>
    <n v="46.961499493414387"/>
    <m/>
    <m/>
  </r>
  <r>
    <x v="2"/>
    <s v="Company V"/>
    <s v="Cream"/>
    <s v="100 mg/ml"/>
    <n v="30"/>
    <n v="1544"/>
    <s v="$28088"/>
    <x v="32"/>
    <x v="0"/>
    <s v="Alexander Underwood"/>
    <s v="Hospitals"/>
    <n v="28088"/>
    <n v="18.191709844559586"/>
    <m/>
    <m/>
  </r>
  <r>
    <x v="2"/>
    <s v="Company Y"/>
    <s v="Injection"/>
    <s v="10 mg"/>
    <s v="50 g"/>
    <n v="1500"/>
    <s v="$33627"/>
    <x v="174"/>
    <x v="1"/>
    <s v="Arthur Henry"/>
    <s v="Hospitals"/>
    <n v="33627"/>
    <n v="22.417999999999999"/>
    <m/>
    <m/>
  </r>
  <r>
    <x v="0"/>
    <s v="Company V"/>
    <s v="Syrup"/>
    <s v="250 mg"/>
    <s v="100 ml"/>
    <n v="1406"/>
    <s v="$38824"/>
    <x v="287"/>
    <x v="3"/>
    <s v="Dawn Le"/>
    <s v="Pharmacy"/>
    <n v="38824"/>
    <n v="27.613086770981507"/>
    <m/>
    <m/>
  </r>
  <r>
    <x v="0"/>
    <s v="Company Z"/>
    <s v="Injection"/>
    <s v="500 mg"/>
    <s v="50 g"/>
    <n v="1176"/>
    <s v="$3089"/>
    <x v="264"/>
    <x v="3"/>
    <s v="Nicholas Caldwell"/>
    <s v="Clinics"/>
    <n v="3089"/>
    <n v="2.6267006802721089"/>
    <m/>
    <m/>
  </r>
  <r>
    <x v="0"/>
    <s v="Company W"/>
    <s v="Syrup"/>
    <s v="500 mg"/>
    <s v="10 ml"/>
    <n v="1806"/>
    <s v="$24517"/>
    <x v="188"/>
    <x v="0"/>
    <s v="Kelly Parker"/>
    <s v="Online Pharmacy"/>
    <n v="24517"/>
    <n v="13.57530454042082"/>
    <m/>
    <m/>
  </r>
  <r>
    <x v="3"/>
    <s v="Company V"/>
    <s v="Syrup"/>
    <s v="250 mg"/>
    <n v="30"/>
    <n v="1187"/>
    <s v="$25578"/>
    <x v="104"/>
    <x v="4"/>
    <s v="Noah Davis"/>
    <s v="Clinics"/>
    <n v="25578"/>
    <n v="21.54844144903117"/>
    <m/>
    <m/>
  </r>
  <r>
    <x v="3"/>
    <s v="Company W"/>
    <s v="Cream"/>
    <s v="250 mg"/>
    <s v="10 ml"/>
    <n v="606"/>
    <s v="$19299"/>
    <x v="175"/>
    <x v="4"/>
    <s v="Joshua Villa"/>
    <s v="Online Pharmacy"/>
    <n v="19299"/>
    <n v="31.846534653465348"/>
    <m/>
    <m/>
  </r>
  <r>
    <x v="4"/>
    <s v="Company Y"/>
    <s v="Injection"/>
    <s v="50 mg"/>
    <n v="30"/>
    <n v="1824"/>
    <s v="$35974"/>
    <x v="218"/>
    <x v="3"/>
    <s v="Bonnie Mason"/>
    <s v="Hospitals"/>
    <n v="35974"/>
    <n v="19.722587719298247"/>
    <m/>
    <m/>
  </r>
  <r>
    <x v="0"/>
    <s v="Company Y"/>
    <s v="Tablet"/>
    <s v="100 mg/ml"/>
    <n v="30"/>
    <n v="1082"/>
    <s v="$1598"/>
    <x v="220"/>
    <x v="4"/>
    <s v="Lorraine Gibson"/>
    <s v="Supermarkets"/>
    <n v="1598"/>
    <n v="1.4768946395563771"/>
    <m/>
    <m/>
  </r>
  <r>
    <x v="0"/>
    <s v="Company W"/>
    <s v="Injection"/>
    <s v="500 mg"/>
    <s v="50 g"/>
    <n v="1738"/>
    <s v="$46460"/>
    <x v="288"/>
    <x v="0"/>
    <s v="Kimberly Lopez"/>
    <s v="Online Pharmacy"/>
    <n v="46460"/>
    <n v="26.731875719217491"/>
    <m/>
    <m/>
  </r>
  <r>
    <x v="3"/>
    <s v="Company Y"/>
    <s v="Capsule"/>
    <s v="250 mg"/>
    <s v="100 ml"/>
    <n v="566"/>
    <s v="$7773"/>
    <x v="71"/>
    <x v="3"/>
    <s v="Lisa Burgess"/>
    <s v="Pharmacy"/>
    <n v="7773"/>
    <n v="13.73321554770318"/>
    <m/>
    <m/>
  </r>
  <r>
    <x v="4"/>
    <s v="Company Y"/>
    <s v="Tablet"/>
    <s v="50 mg"/>
    <s v="100 ml"/>
    <n v="1542"/>
    <s v="$18211"/>
    <x v="289"/>
    <x v="3"/>
    <s v="Teresa Waters"/>
    <s v="Pharmacy"/>
    <n v="18211"/>
    <n v="11.809987029831388"/>
    <m/>
    <m/>
  </r>
  <r>
    <x v="0"/>
    <s v="Company Z"/>
    <s v="Capsule"/>
    <s v="250 mg"/>
    <s v="100 ml"/>
    <n v="1818"/>
    <s v="$24007"/>
    <x v="290"/>
    <x v="2"/>
    <s v="Gary Foster"/>
    <s v="Supermarkets"/>
    <n v="24007"/>
    <n v="13.205170517051705"/>
    <m/>
    <m/>
  </r>
  <r>
    <x v="2"/>
    <s v="Company X"/>
    <s v="Cream"/>
    <s v="500 mg"/>
    <s v="10 ml"/>
    <n v="380"/>
    <s v="$19627"/>
    <x v="143"/>
    <x v="1"/>
    <s v="Cassandra Allen"/>
    <s v="Clinics"/>
    <n v="19627"/>
    <n v="51.65"/>
    <m/>
    <m/>
  </r>
  <r>
    <x v="2"/>
    <s v="Company Y"/>
    <s v="Cream"/>
    <s v="500 mg"/>
    <n v="30"/>
    <n v="1258"/>
    <s v="$32636"/>
    <x v="90"/>
    <x v="0"/>
    <s v="Bryan Erickson"/>
    <s v="Clinics"/>
    <n v="32636"/>
    <n v="25.942766295707472"/>
    <m/>
    <m/>
  </r>
  <r>
    <x v="0"/>
    <s v="Company X"/>
    <s v="Injection"/>
    <s v="500 mg"/>
    <s v="10 ml"/>
    <n v="271"/>
    <s v="$42665"/>
    <x v="94"/>
    <x v="3"/>
    <s v="Claire Henry"/>
    <s v="Pharmacy"/>
    <n v="42665"/>
    <n v="157.43542435424354"/>
    <m/>
    <m/>
  </r>
  <r>
    <x v="2"/>
    <s v="Company Z"/>
    <s v="Cream"/>
    <s v="100 mg/ml"/>
    <n v="60"/>
    <n v="1450"/>
    <s v="$41272"/>
    <x v="291"/>
    <x v="1"/>
    <s v="Courtney Shelton"/>
    <s v="Online Pharmacy"/>
    <n v="41272"/>
    <n v="28.463448275862071"/>
    <m/>
    <m/>
  </r>
  <r>
    <x v="0"/>
    <s v="Company W"/>
    <s v="Capsule"/>
    <s v="500 mg"/>
    <s v="10 ml"/>
    <n v="880"/>
    <s v="$41888"/>
    <x v="204"/>
    <x v="4"/>
    <s v="Danny Acevedo"/>
    <s v="Online Pharmacy"/>
    <n v="41888"/>
    <n v="47.6"/>
    <m/>
    <m/>
  </r>
  <r>
    <x v="3"/>
    <s v="Company Z"/>
    <s v="Syrup"/>
    <s v="10 mg"/>
    <s v="100 ml"/>
    <n v="946"/>
    <s v="$11455"/>
    <x v="292"/>
    <x v="3"/>
    <s v="Brian Henry"/>
    <s v="Pharmacy"/>
    <n v="11455"/>
    <n v="12.108879492600423"/>
    <m/>
    <m/>
  </r>
  <r>
    <x v="1"/>
    <s v="Company W"/>
    <s v="Injection"/>
    <s v="100 mg/ml"/>
    <s v="50 g"/>
    <n v="1435"/>
    <s v="$5947"/>
    <x v="35"/>
    <x v="4"/>
    <s v="Patricia Robertson"/>
    <s v="Hospitals"/>
    <n v="5947"/>
    <n v="4.1442508710801391"/>
    <m/>
    <m/>
  </r>
  <r>
    <x v="2"/>
    <s v="Company Y"/>
    <s v="Capsule"/>
    <s v="100 mg/ml"/>
    <s v="50 g"/>
    <n v="662"/>
    <s v="$42968"/>
    <x v="293"/>
    <x v="2"/>
    <s v="Jason Hernandez"/>
    <s v="Hospitals"/>
    <n v="42968"/>
    <n v="64.90634441087613"/>
    <m/>
    <m/>
  </r>
  <r>
    <x v="3"/>
    <s v="Company Z"/>
    <s v="Syrup"/>
    <s v="10 mg"/>
    <s v="10 ml"/>
    <n v="974"/>
    <s v="$1233"/>
    <x v="294"/>
    <x v="2"/>
    <s v="Sabrina Villa"/>
    <s v="Online Pharmacy"/>
    <n v="1233"/>
    <n v="1.2659137577002053"/>
    <m/>
    <m/>
  </r>
  <r>
    <x v="0"/>
    <s v="Company Y"/>
    <s v="Capsule"/>
    <s v="500 mg"/>
    <s v="100 ml"/>
    <n v="375"/>
    <s v="$48490"/>
    <x v="160"/>
    <x v="2"/>
    <s v="Robert Scott"/>
    <s v="Online Pharmacy"/>
    <n v="48490"/>
    <n v="129.30666666666667"/>
    <m/>
    <m/>
  </r>
  <r>
    <x v="4"/>
    <s v="Company Z"/>
    <s v="Cream"/>
    <s v="100 mg/ml"/>
    <n v="60"/>
    <n v="1174"/>
    <s v="$45203"/>
    <x v="111"/>
    <x v="2"/>
    <s v="Jeffrey Moore"/>
    <s v="Hospitals"/>
    <n v="45203"/>
    <n v="38.503407155025556"/>
    <m/>
    <m/>
  </r>
  <r>
    <x v="0"/>
    <s v="Company W"/>
    <s v="Cream"/>
    <s v="100 mg/ml"/>
    <s v="50 g"/>
    <n v="826"/>
    <s v="$38948"/>
    <x v="107"/>
    <x v="2"/>
    <s v="Gregory Krause"/>
    <s v="Pharmacy"/>
    <n v="38948"/>
    <n v="47.152542372881356"/>
    <m/>
    <m/>
  </r>
  <r>
    <x v="4"/>
    <s v="Company W"/>
    <s v="Cream"/>
    <s v="500 mg"/>
    <s v="100 ml"/>
    <n v="1991"/>
    <s v="$22125"/>
    <x v="287"/>
    <x v="1"/>
    <s v="Daniel Adkins"/>
    <s v="Pharmacy"/>
    <n v="22125"/>
    <n v="11.112506278252134"/>
    <m/>
    <m/>
  </r>
  <r>
    <x v="3"/>
    <s v="Company V"/>
    <s v="Tablet"/>
    <s v="10 mg"/>
    <n v="30"/>
    <n v="1847"/>
    <s v="$3341"/>
    <x v="295"/>
    <x v="3"/>
    <s v="Donna Gardner"/>
    <s v="Clinics"/>
    <n v="3341"/>
    <n v="1.8088792636708175"/>
    <m/>
    <m/>
  </r>
  <r>
    <x v="0"/>
    <s v="Company W"/>
    <s v="Tablet"/>
    <s v="10 mg"/>
    <s v="50 g"/>
    <n v="1902"/>
    <s v="$30721"/>
    <x v="87"/>
    <x v="1"/>
    <s v="Eric Boyd"/>
    <s v="Online Pharmacy"/>
    <n v="30721"/>
    <n v="16.151945320715036"/>
    <m/>
    <m/>
  </r>
  <r>
    <x v="2"/>
    <s v="Company V"/>
    <s v="Capsule"/>
    <s v="250 mg"/>
    <n v="30"/>
    <n v="1565"/>
    <s v="$44406"/>
    <x v="252"/>
    <x v="4"/>
    <s v="Sabrina Barnett MD"/>
    <s v="Pharmacy"/>
    <n v="44406"/>
    <n v="28.374440894568689"/>
    <m/>
    <m/>
  </r>
  <r>
    <x v="3"/>
    <s v="Company Z"/>
    <s v="Syrup"/>
    <s v="10 mg"/>
    <n v="60"/>
    <n v="202"/>
    <s v="$29359"/>
    <x v="143"/>
    <x v="3"/>
    <s v="Richard Matthews"/>
    <s v="Clinics"/>
    <n v="29359"/>
    <n v="145.34158415841586"/>
    <m/>
    <m/>
  </r>
  <r>
    <x v="1"/>
    <s v="Company W"/>
    <s v="Cream"/>
    <s v="500 mg"/>
    <s v="100 ml"/>
    <n v="1154"/>
    <s v="$43230"/>
    <x v="220"/>
    <x v="2"/>
    <s v="Christine Garcia"/>
    <s v="Online Pharmacy"/>
    <n v="43230"/>
    <n v="37.461005199306761"/>
    <m/>
    <m/>
  </r>
  <r>
    <x v="3"/>
    <s v="Company Y"/>
    <s v="Syrup"/>
    <s v="100 mg/ml"/>
    <s v="50 g"/>
    <n v="1979"/>
    <s v="$44423"/>
    <x v="0"/>
    <x v="2"/>
    <s v="Robert Becker"/>
    <s v="Supermarkets"/>
    <n v="44423"/>
    <n v="22.447195553309751"/>
    <m/>
    <m/>
  </r>
  <r>
    <x v="1"/>
    <s v="Company Z"/>
    <s v="Syrup"/>
    <s v="250 mg"/>
    <n v="60"/>
    <n v="1572"/>
    <s v="$45926"/>
    <x v="296"/>
    <x v="1"/>
    <s v="Kimberly Hill"/>
    <s v="Clinics"/>
    <n v="45926"/>
    <n v="29.215012722646311"/>
    <m/>
    <m/>
  </r>
  <r>
    <x v="4"/>
    <s v="Company V"/>
    <s v="Injection"/>
    <s v="100 mg/ml"/>
    <n v="60"/>
    <n v="1732"/>
    <s v="$15706"/>
    <x v="286"/>
    <x v="1"/>
    <s v="Samuel Mullen"/>
    <s v="Supermarkets"/>
    <n v="15706"/>
    <n v="9.0681293302540418"/>
    <m/>
    <m/>
  </r>
  <r>
    <x v="4"/>
    <s v="Company X"/>
    <s v="Capsule"/>
    <s v="50 mg"/>
    <s v="100 ml"/>
    <n v="994"/>
    <s v="$28766"/>
    <x v="297"/>
    <x v="1"/>
    <s v="Michael Romero"/>
    <s v="Supermarkets"/>
    <n v="28766"/>
    <n v="28.939637826961771"/>
    <m/>
    <m/>
  </r>
  <r>
    <x v="1"/>
    <s v="Company Z"/>
    <s v="Tablet"/>
    <s v="250 mg"/>
    <s v="10 ml"/>
    <n v="524"/>
    <s v="$29230"/>
    <x v="275"/>
    <x v="4"/>
    <s v="Travis Mason"/>
    <s v="Supermarkets"/>
    <n v="29230"/>
    <n v="55.782442748091604"/>
    <m/>
    <m/>
  </r>
  <r>
    <x v="0"/>
    <s v="Company Y"/>
    <s v="Injection"/>
    <s v="50 mg"/>
    <s v="100 ml"/>
    <n v="255"/>
    <s v="$10654"/>
    <x v="298"/>
    <x v="4"/>
    <s v="Aaron Miles"/>
    <s v="Clinics"/>
    <n v="10654"/>
    <n v="41.780392156862746"/>
    <m/>
    <m/>
  </r>
  <r>
    <x v="1"/>
    <s v="Company W"/>
    <s v="Cream"/>
    <s v="250 mg"/>
    <s v="50 g"/>
    <n v="347"/>
    <s v="$13939"/>
    <x v="32"/>
    <x v="4"/>
    <s v="Bryan Porter"/>
    <s v="Hospitals"/>
    <n v="13939"/>
    <n v="40.170028818443804"/>
    <m/>
    <m/>
  </r>
  <r>
    <x v="1"/>
    <s v="Company W"/>
    <s v="Injection"/>
    <s v="100 mg/ml"/>
    <s v="10 ml"/>
    <n v="884"/>
    <s v="$29077"/>
    <x v="299"/>
    <x v="4"/>
    <s v="Cynthia Ross"/>
    <s v="Pharmacy"/>
    <n v="29077"/>
    <n v="32.892533936651581"/>
    <m/>
    <m/>
  </r>
  <r>
    <x v="0"/>
    <s v="Company Z"/>
    <s v="Capsule"/>
    <s v="50 mg"/>
    <s v="10 ml"/>
    <n v="1415"/>
    <s v="$35744"/>
    <x v="261"/>
    <x v="3"/>
    <s v="Cynthia Aguirre"/>
    <s v="Hospitals"/>
    <n v="35744"/>
    <n v="25.26077738515901"/>
    <m/>
    <m/>
  </r>
  <r>
    <x v="0"/>
    <s v="Company X"/>
    <s v="Tablet"/>
    <s v="10 mg"/>
    <s v="100 ml"/>
    <n v="600"/>
    <s v="$22592"/>
    <x v="107"/>
    <x v="4"/>
    <s v="Daniel Phillips"/>
    <s v="Hospitals"/>
    <n v="22592"/>
    <n v="37.653333333333336"/>
    <m/>
    <m/>
  </r>
  <r>
    <x v="1"/>
    <s v="Company Y"/>
    <s v="Tablet"/>
    <s v="500 mg"/>
    <n v="30"/>
    <n v="1568"/>
    <s v="$22730"/>
    <x v="91"/>
    <x v="0"/>
    <s v="Patrick Martinez"/>
    <s v="Clinics"/>
    <n v="22730"/>
    <n v="14.496173469387756"/>
    <m/>
    <m/>
  </r>
  <r>
    <x v="2"/>
    <s v="Company X"/>
    <s v="Syrup"/>
    <s v="100 mg/ml"/>
    <n v="30"/>
    <n v="1383"/>
    <s v="$7696"/>
    <x v="31"/>
    <x v="4"/>
    <s v="Suzanne Hernandez"/>
    <s v="Hospitals"/>
    <n v="7696"/>
    <n v="5.5647143890094002"/>
    <m/>
    <m/>
  </r>
  <r>
    <x v="1"/>
    <s v="Company X"/>
    <s v="Injection"/>
    <s v="100 mg/ml"/>
    <s v="100 ml"/>
    <n v="1066"/>
    <s v="$30159"/>
    <x v="283"/>
    <x v="3"/>
    <s v="Matthew Glover"/>
    <s v="Hospitals"/>
    <n v="30159"/>
    <n v="28.291744840525329"/>
    <m/>
    <m/>
  </r>
  <r>
    <x v="3"/>
    <s v="Company Y"/>
    <s v="Syrup"/>
    <s v="250 mg"/>
    <s v="10 ml"/>
    <n v="1759"/>
    <s v="$31641"/>
    <x v="300"/>
    <x v="1"/>
    <s v="Timothy Ruiz"/>
    <s v="Pharmacy"/>
    <n v="31641"/>
    <n v="17.988061398521886"/>
    <m/>
    <m/>
  </r>
  <r>
    <x v="3"/>
    <s v="Company V"/>
    <s v="Capsule"/>
    <s v="50 mg"/>
    <n v="30"/>
    <n v="1040"/>
    <s v="$45896"/>
    <x v="273"/>
    <x v="1"/>
    <s v="Savannah Howard"/>
    <s v="Online Pharmacy"/>
    <n v="45896"/>
    <n v="44.130769230769232"/>
    <m/>
    <m/>
  </r>
  <r>
    <x v="2"/>
    <s v="Company X"/>
    <s v="Injection"/>
    <s v="500 mg"/>
    <n v="60"/>
    <n v="1796"/>
    <s v="$15290"/>
    <x v="256"/>
    <x v="1"/>
    <s v="Gregory Henry"/>
    <s v="Pharmacy"/>
    <n v="15290"/>
    <n v="8.5133630289532292"/>
    <m/>
    <m/>
  </r>
  <r>
    <x v="4"/>
    <s v="Company W"/>
    <s v="Syrup"/>
    <s v="250 mg"/>
    <s v="100 ml"/>
    <n v="1545"/>
    <s v="$2653"/>
    <x v="96"/>
    <x v="0"/>
    <s v="Amanda Underwood"/>
    <s v="Hospitals"/>
    <n v="2653"/>
    <n v="1.7171521035598705"/>
    <m/>
    <m/>
  </r>
  <r>
    <x v="3"/>
    <s v="Company X"/>
    <s v="Tablet"/>
    <s v="50 mg"/>
    <n v="60"/>
    <n v="1615"/>
    <s v="$48316"/>
    <x v="92"/>
    <x v="4"/>
    <s v="Yvette Miller"/>
    <s v="Supermarkets"/>
    <n v="48316"/>
    <n v="29.91702786377709"/>
    <m/>
    <m/>
  </r>
  <r>
    <x v="2"/>
    <s v="Company V"/>
    <s v="Syrup"/>
    <s v="100 mg/ml"/>
    <s v="100 ml"/>
    <n v="1793"/>
    <s v="$3737"/>
    <x v="70"/>
    <x v="2"/>
    <s v="Robert Valencia"/>
    <s v="Hospitals"/>
    <n v="3737"/>
    <n v="2.0842163970998326"/>
    <m/>
    <m/>
  </r>
  <r>
    <x v="1"/>
    <s v="Company V"/>
    <s v="Cream"/>
    <s v="250 mg"/>
    <s v="50 g"/>
    <n v="1283"/>
    <s v="$30409"/>
    <x v="74"/>
    <x v="1"/>
    <s v="Robert Lucas"/>
    <s v="Hospitals"/>
    <n v="30409"/>
    <n v="23.701480904130943"/>
    <m/>
    <m/>
  </r>
  <r>
    <x v="3"/>
    <s v="Company Y"/>
    <s v="Cream"/>
    <s v="50 mg"/>
    <s v="10 ml"/>
    <n v="635"/>
    <s v="$8357"/>
    <x v="140"/>
    <x v="4"/>
    <s v="Joshua Ferguson"/>
    <s v="Online Pharmacy"/>
    <n v="8357"/>
    <n v="13.160629921259842"/>
    <m/>
    <m/>
  </r>
  <r>
    <x v="0"/>
    <s v="Company W"/>
    <s v="Injection"/>
    <s v="50 mg"/>
    <n v="60"/>
    <n v="1700"/>
    <s v="$25492"/>
    <x v="254"/>
    <x v="3"/>
    <s v="Amy Davis"/>
    <s v="Online Pharmacy"/>
    <n v="25492"/>
    <n v="14.99529411764706"/>
    <m/>
    <m/>
  </r>
  <r>
    <x v="0"/>
    <s v="Company Y"/>
    <s v="Capsule"/>
    <s v="50 mg"/>
    <n v="60"/>
    <n v="1428"/>
    <s v="$22964"/>
    <x v="62"/>
    <x v="2"/>
    <s v="Miguel Shah"/>
    <s v="Clinics"/>
    <n v="22964"/>
    <n v="16.081232492997199"/>
    <m/>
    <m/>
  </r>
  <r>
    <x v="0"/>
    <s v="Company Z"/>
    <s v="Syrup"/>
    <s v="50 mg"/>
    <n v="60"/>
    <n v="786"/>
    <s v="$11656"/>
    <x v="34"/>
    <x v="1"/>
    <s v="Matthew Thomas"/>
    <s v="Pharmacy"/>
    <n v="11656"/>
    <n v="14.829516539440204"/>
    <m/>
    <m/>
  </r>
  <r>
    <x v="3"/>
    <s v="Company Z"/>
    <s v="Syrup"/>
    <s v="500 mg"/>
    <n v="60"/>
    <n v="973"/>
    <s v="$3690"/>
    <x v="252"/>
    <x v="3"/>
    <s v="Jeffrey Woods"/>
    <s v="Pharmacy"/>
    <n v="3690"/>
    <n v="3.7923946557040082"/>
    <m/>
    <m/>
  </r>
  <r>
    <x v="2"/>
    <s v="Company Y"/>
    <s v="Cream"/>
    <s v="10 mg"/>
    <s v="50 g"/>
    <n v="1841"/>
    <s v="$5308"/>
    <x v="25"/>
    <x v="3"/>
    <s v="Lori Jones MD"/>
    <s v="Pharmacy"/>
    <n v="5308"/>
    <n v="2.8832156436719174"/>
    <m/>
    <m/>
  </r>
  <r>
    <x v="4"/>
    <s v="Company X"/>
    <s v="Injection"/>
    <s v="100 mg/ml"/>
    <s v="100 ml"/>
    <n v="852"/>
    <s v="$21947"/>
    <x v="75"/>
    <x v="0"/>
    <s v="Nicole Russell"/>
    <s v="Supermarkets"/>
    <n v="21947"/>
    <n v="25.759389671361504"/>
    <m/>
    <m/>
  </r>
  <r>
    <x v="4"/>
    <s v="Company X"/>
    <s v="Capsule"/>
    <s v="10 mg"/>
    <s v="50 g"/>
    <n v="1005"/>
    <s v="$20706"/>
    <x v="138"/>
    <x v="3"/>
    <s v="Raymond Perez"/>
    <s v="Clinics"/>
    <n v="20706"/>
    <n v="20.602985074626865"/>
    <m/>
    <m/>
  </r>
  <r>
    <x v="1"/>
    <s v="Company Y"/>
    <s v="Syrup"/>
    <s v="500 mg"/>
    <s v="100 ml"/>
    <n v="1746"/>
    <s v="$9959"/>
    <x v="61"/>
    <x v="3"/>
    <s v="Timothy Porter"/>
    <s v="Clinics"/>
    <n v="9959"/>
    <n v="5.7038946162657505"/>
    <m/>
    <m/>
  </r>
  <r>
    <x v="4"/>
    <s v="Company Y"/>
    <s v="Capsule"/>
    <s v="250 mg"/>
    <n v="30"/>
    <n v="1257"/>
    <s v="$23476"/>
    <x v="251"/>
    <x v="2"/>
    <s v="Jose Dunn"/>
    <s v="Supermarkets"/>
    <n v="23476"/>
    <n v="18.676213206046143"/>
    <m/>
    <m/>
  </r>
  <r>
    <x v="3"/>
    <s v="Company X"/>
    <s v="Tablet"/>
    <s v="10 mg"/>
    <s v="50 g"/>
    <n v="1082"/>
    <s v="$35390"/>
    <x v="301"/>
    <x v="2"/>
    <s v="Katelyn Fields"/>
    <s v="Pharmacy"/>
    <n v="35390"/>
    <n v="32.707948243992604"/>
    <m/>
    <m/>
  </r>
  <r>
    <x v="2"/>
    <s v="Company Y"/>
    <s v="Injection"/>
    <s v="10 mg"/>
    <s v="50 g"/>
    <n v="428"/>
    <s v="$3153"/>
    <x v="0"/>
    <x v="0"/>
    <s v="Joshua Black"/>
    <s v="Online Pharmacy"/>
    <n v="3153"/>
    <n v="7.3668224299065423"/>
    <m/>
    <m/>
  </r>
  <r>
    <x v="2"/>
    <s v="Company Y"/>
    <s v="Syrup"/>
    <s v="100 mg/ml"/>
    <n v="60"/>
    <n v="793"/>
    <s v="$30051"/>
    <x v="21"/>
    <x v="2"/>
    <s v="Travis Carrillo"/>
    <s v="Hospitals"/>
    <n v="30051"/>
    <n v="37.8953341740227"/>
    <m/>
    <m/>
  </r>
  <r>
    <x v="3"/>
    <s v="Company V"/>
    <s v="Cream"/>
    <s v="100 mg/ml"/>
    <n v="60"/>
    <n v="140"/>
    <s v="$31617"/>
    <x v="205"/>
    <x v="2"/>
    <s v="Lisa Cobb"/>
    <s v="Supermarkets"/>
    <n v="31617"/>
    <n v="225.83571428571429"/>
    <m/>
    <m/>
  </r>
  <r>
    <x v="0"/>
    <s v="Company Y"/>
    <s v="Injection"/>
    <s v="500 mg"/>
    <n v="30"/>
    <n v="862"/>
    <s v="$42692"/>
    <x v="166"/>
    <x v="3"/>
    <s v="Lisa Berry"/>
    <s v="Pharmacy"/>
    <n v="42692"/>
    <n v="49.526682134570763"/>
    <m/>
    <m/>
  </r>
  <r>
    <x v="0"/>
    <s v="Company V"/>
    <s v="Cream"/>
    <s v="250 mg"/>
    <n v="30"/>
    <n v="1888"/>
    <s v="$35394"/>
    <x v="136"/>
    <x v="3"/>
    <s v="Ernest Mcgrath"/>
    <s v="Online Pharmacy"/>
    <n v="35394"/>
    <n v="18.746822033898304"/>
    <m/>
    <m/>
  </r>
  <r>
    <x v="1"/>
    <s v="Company X"/>
    <s v="Cream"/>
    <s v="100 mg/ml"/>
    <s v="50 g"/>
    <n v="1623"/>
    <s v="$26804"/>
    <x v="35"/>
    <x v="1"/>
    <s v="Jeffrey Simpson"/>
    <s v="Clinics"/>
    <n v="26804"/>
    <n v="16.515095502156502"/>
    <m/>
    <m/>
  </r>
  <r>
    <x v="4"/>
    <s v="Company Z"/>
    <s v="Cream"/>
    <s v="500 mg"/>
    <n v="60"/>
    <n v="1641"/>
    <s v="$7106"/>
    <x v="127"/>
    <x v="3"/>
    <s v="Richard Vasquez"/>
    <s v="Hospitals"/>
    <n v="7106"/>
    <n v="4.3302864107251677"/>
    <m/>
    <m/>
  </r>
  <r>
    <x v="0"/>
    <s v="Company W"/>
    <s v="Cream"/>
    <s v="500 mg"/>
    <n v="60"/>
    <n v="622"/>
    <s v="$30194"/>
    <x v="302"/>
    <x v="4"/>
    <s v="Travis Floyd"/>
    <s v="Hospitals"/>
    <n v="30194"/>
    <n v="48.543408360128616"/>
    <m/>
    <m/>
  </r>
  <r>
    <x v="1"/>
    <s v="Company V"/>
    <s v="Syrup"/>
    <s v="250 mg"/>
    <s v="50 g"/>
    <n v="1529"/>
    <s v="$22974"/>
    <x v="143"/>
    <x v="0"/>
    <s v="Brandon Williams"/>
    <s v="Hospitals"/>
    <n v="22974"/>
    <n v="15.025506867233485"/>
    <m/>
    <m/>
  </r>
  <r>
    <x v="0"/>
    <s v="Company W"/>
    <s v="Tablet"/>
    <s v="10 mg"/>
    <s v="50 g"/>
    <n v="1868"/>
    <s v="$14793"/>
    <x v="303"/>
    <x v="0"/>
    <s v="Mary Garcia"/>
    <s v="Hospitals"/>
    <n v="14793"/>
    <n v="7.9191648822269807"/>
    <m/>
    <m/>
  </r>
  <r>
    <x v="3"/>
    <s v="Company X"/>
    <s v="Tablet"/>
    <s v="250 mg"/>
    <n v="30"/>
    <n v="421"/>
    <s v="$11743"/>
    <x v="304"/>
    <x v="2"/>
    <s v="Susan Donaldson"/>
    <s v="Clinics"/>
    <n v="11743"/>
    <n v="27.893111638954871"/>
    <m/>
    <m/>
  </r>
  <r>
    <x v="0"/>
    <s v="Company Y"/>
    <s v="Injection"/>
    <s v="250 mg"/>
    <s v="50 g"/>
    <n v="1140"/>
    <s v="$11932"/>
    <x v="170"/>
    <x v="1"/>
    <s v="Richard Johnson"/>
    <s v="Hospitals"/>
    <n v="11932"/>
    <n v="10.466666666666667"/>
    <m/>
    <m/>
  </r>
  <r>
    <x v="0"/>
    <s v="Company V"/>
    <s v="Syrup"/>
    <s v="10 mg"/>
    <s v="100 ml"/>
    <n v="1689"/>
    <s v="$48095"/>
    <x v="95"/>
    <x v="0"/>
    <s v="Jermaine Lowe"/>
    <s v="Hospitals"/>
    <n v="48095"/>
    <n v="28.475429248075784"/>
    <m/>
    <m/>
  </r>
  <r>
    <x v="0"/>
    <s v="Company Z"/>
    <s v="Syrup"/>
    <s v="10 mg"/>
    <n v="30"/>
    <n v="899"/>
    <s v="$30188"/>
    <x v="57"/>
    <x v="4"/>
    <s v="Amanda Anderson"/>
    <s v="Hospitals"/>
    <n v="30188"/>
    <n v="33.579532814238043"/>
    <m/>
    <m/>
  </r>
  <r>
    <x v="0"/>
    <s v="Company Z"/>
    <s v="Cream"/>
    <s v="250 mg"/>
    <s v="10 ml"/>
    <n v="1631"/>
    <s v="$1499"/>
    <x v="261"/>
    <x v="0"/>
    <s v="Tammy Nguyen"/>
    <s v="Pharmacy"/>
    <n v="1499"/>
    <n v="0.9190680564071122"/>
    <m/>
    <m/>
  </r>
  <r>
    <x v="0"/>
    <s v="Company Z"/>
    <s v="Cream"/>
    <s v="250 mg"/>
    <s v="50 g"/>
    <n v="319"/>
    <s v="$13155"/>
    <x v="107"/>
    <x v="2"/>
    <s v="James Sanders"/>
    <s v="Online Pharmacy"/>
    <n v="13155"/>
    <n v="41.238244514106583"/>
    <m/>
    <m/>
  </r>
  <r>
    <x v="2"/>
    <s v="Company W"/>
    <s v="Syrup"/>
    <s v="500 mg"/>
    <s v="10 ml"/>
    <n v="152"/>
    <s v="$12327"/>
    <x v="274"/>
    <x v="4"/>
    <s v="Timothy Diaz"/>
    <s v="Online Pharmacy"/>
    <n v="12327"/>
    <n v="81.098684210526315"/>
    <m/>
    <m/>
  </r>
  <r>
    <x v="2"/>
    <s v="Company W"/>
    <s v="Cream"/>
    <s v="250 mg"/>
    <s v="50 g"/>
    <n v="1283"/>
    <s v="$2668"/>
    <x v="107"/>
    <x v="0"/>
    <s v="Trevor Keith"/>
    <s v="Clinics"/>
    <n v="2668"/>
    <n v="2.0795011691348404"/>
    <m/>
    <m/>
  </r>
  <r>
    <x v="3"/>
    <s v="Company W"/>
    <s v="Injection"/>
    <s v="100 mg/ml"/>
    <s v="100 ml"/>
    <n v="1508"/>
    <s v="$41269"/>
    <x v="169"/>
    <x v="4"/>
    <s v="Charles Rice"/>
    <s v="Hospitals"/>
    <n v="41269"/>
    <n v="27.366710875331567"/>
    <m/>
    <m/>
  </r>
  <r>
    <x v="1"/>
    <s v="Company Y"/>
    <s v="Capsule"/>
    <s v="100 mg/ml"/>
    <n v="30"/>
    <n v="774"/>
    <s v="$26648"/>
    <x v="248"/>
    <x v="0"/>
    <s v="Melissa Ramos"/>
    <s v="Hospitals"/>
    <n v="26648"/>
    <n v="34.428940568475454"/>
    <m/>
    <m/>
  </r>
  <r>
    <x v="3"/>
    <s v="Company Z"/>
    <s v="Syrup"/>
    <s v="50 mg"/>
    <n v="30"/>
    <n v="255"/>
    <s v="$47763"/>
    <x v="301"/>
    <x v="1"/>
    <s v="Christopher Stephenson"/>
    <s v="Supermarkets"/>
    <n v="47763"/>
    <n v="187.30588235294118"/>
    <m/>
    <m/>
  </r>
  <r>
    <x v="4"/>
    <s v="Company Z"/>
    <s v="Tablet"/>
    <s v="10 mg"/>
    <s v="10 ml"/>
    <n v="1460"/>
    <s v="$22865"/>
    <x v="134"/>
    <x v="0"/>
    <s v="Robert Hale"/>
    <s v="Clinics"/>
    <n v="22865"/>
    <n v="15.66095890410959"/>
    <m/>
    <m/>
  </r>
  <r>
    <x v="0"/>
    <s v="Company W"/>
    <s v="Cream"/>
    <s v="100 mg/ml"/>
    <n v="30"/>
    <n v="879"/>
    <s v="$6810"/>
    <x v="83"/>
    <x v="1"/>
    <s v="Brian Raymond"/>
    <s v="Hospitals"/>
    <n v="6810"/>
    <n v="7.7474402730375429"/>
    <m/>
    <m/>
  </r>
  <r>
    <x v="0"/>
    <s v="Company V"/>
    <s v="Injection"/>
    <s v="500 mg"/>
    <s v="50 g"/>
    <n v="634"/>
    <s v="$15232"/>
    <x v="89"/>
    <x v="2"/>
    <s v="Monica Jones"/>
    <s v="Pharmacy"/>
    <n v="15232"/>
    <n v="24.025236593059937"/>
    <m/>
    <m/>
  </r>
  <r>
    <x v="2"/>
    <s v="Company X"/>
    <s v="Cream"/>
    <s v="500 mg"/>
    <s v="100 ml"/>
    <n v="1589"/>
    <s v="$28963"/>
    <x v="195"/>
    <x v="1"/>
    <s v="Nichole Orozco"/>
    <s v="Pharmacy"/>
    <n v="28963"/>
    <n v="18.227186910006292"/>
    <m/>
    <m/>
  </r>
  <r>
    <x v="3"/>
    <s v="Company Z"/>
    <s v="Syrup"/>
    <s v="100 mg/ml"/>
    <s v="100 ml"/>
    <n v="288"/>
    <s v="$10918"/>
    <x v="239"/>
    <x v="1"/>
    <s v="Paige Myers"/>
    <s v="Clinics"/>
    <n v="10918"/>
    <n v="37.909722222222221"/>
    <m/>
    <m/>
  </r>
  <r>
    <x v="2"/>
    <s v="Company V"/>
    <s v="Capsule"/>
    <s v="500 mg"/>
    <s v="50 g"/>
    <n v="161"/>
    <s v="$15335"/>
    <x v="3"/>
    <x v="0"/>
    <s v="Steve Ford"/>
    <s v="Online Pharmacy"/>
    <n v="15335"/>
    <n v="95.24844720496894"/>
    <m/>
    <m/>
  </r>
  <r>
    <x v="1"/>
    <s v="Company Y"/>
    <s v="Cream"/>
    <s v="500 mg"/>
    <s v="50 g"/>
    <n v="855"/>
    <s v="$29393"/>
    <x v="305"/>
    <x v="0"/>
    <s v="Patricia Wilson"/>
    <s v="Clinics"/>
    <n v="29393"/>
    <n v="34.37777777777778"/>
    <m/>
    <m/>
  </r>
  <r>
    <x v="1"/>
    <s v="Company Y"/>
    <s v="Syrup"/>
    <s v="10 mg"/>
    <s v="10 ml"/>
    <n v="488"/>
    <s v="$48696"/>
    <x v="138"/>
    <x v="3"/>
    <s v="Jennifer Clark"/>
    <s v="Clinics"/>
    <n v="48696"/>
    <n v="99.786885245901644"/>
    <m/>
    <m/>
  </r>
  <r>
    <x v="2"/>
    <s v="Company W"/>
    <s v="Cream"/>
    <s v="50 mg"/>
    <s v="100 ml"/>
    <n v="1119"/>
    <s v="$17664"/>
    <x v="77"/>
    <x v="1"/>
    <s v="Andrew Lang"/>
    <s v="Hospitals"/>
    <n v="17664"/>
    <n v="15.785522788203753"/>
    <m/>
    <m/>
  </r>
  <r>
    <x v="4"/>
    <s v="Company V"/>
    <s v="Tablet"/>
    <s v="250 mg"/>
    <n v="30"/>
    <n v="105"/>
    <s v="$10114"/>
    <x v="220"/>
    <x v="2"/>
    <s v="Catherine Ochoa"/>
    <s v="Clinics"/>
    <n v="10114"/>
    <n v="96.32380952380953"/>
    <m/>
    <m/>
  </r>
  <r>
    <x v="4"/>
    <s v="Company X"/>
    <s v="Injection"/>
    <s v="100 mg/ml"/>
    <s v="100 ml"/>
    <n v="1425"/>
    <s v="$49691"/>
    <x v="164"/>
    <x v="1"/>
    <s v="Kenneth Jones"/>
    <s v="Pharmacy"/>
    <n v="49691"/>
    <n v="34.870877192982455"/>
    <m/>
    <m/>
  </r>
  <r>
    <x v="0"/>
    <s v="Company Y"/>
    <s v="Syrup"/>
    <s v="100 mg/ml"/>
    <s v="10 ml"/>
    <n v="908"/>
    <s v="$12202"/>
    <x v="105"/>
    <x v="3"/>
    <s v="Nicole Warner"/>
    <s v="Hospitals"/>
    <n v="12202"/>
    <n v="13.438325991189428"/>
    <m/>
    <m/>
  </r>
  <r>
    <x v="2"/>
    <s v="Company Y"/>
    <s v="Cream"/>
    <s v="250 mg"/>
    <n v="30"/>
    <n v="1479"/>
    <s v="$39296"/>
    <x v="306"/>
    <x v="1"/>
    <s v="Richard Benton"/>
    <s v="Pharmacy"/>
    <n v="39296"/>
    <n v="26.569303583502368"/>
    <m/>
    <m/>
  </r>
  <r>
    <x v="4"/>
    <s v="Company Y"/>
    <s v="Injection"/>
    <s v="10 mg"/>
    <n v="30"/>
    <n v="1271"/>
    <s v="$24977"/>
    <x v="82"/>
    <x v="1"/>
    <s v="Eric Williams"/>
    <s v="Clinics"/>
    <n v="24977"/>
    <n v="19.651455546813533"/>
    <m/>
    <m/>
  </r>
  <r>
    <x v="0"/>
    <s v="Company Y"/>
    <s v="Capsule"/>
    <s v="50 mg"/>
    <n v="60"/>
    <n v="255"/>
    <s v="$3422"/>
    <x v="96"/>
    <x v="3"/>
    <s v="Jacqueline Jones"/>
    <s v="Hospitals"/>
    <n v="3422"/>
    <n v="13.419607843137255"/>
    <m/>
    <m/>
  </r>
  <r>
    <x v="0"/>
    <s v="Company Z"/>
    <s v="Injection"/>
    <s v="50 mg"/>
    <s v="100 ml"/>
    <n v="1258"/>
    <s v="$40096"/>
    <x v="18"/>
    <x v="4"/>
    <s v="Kelly Wolf"/>
    <s v="Clinics"/>
    <n v="40096"/>
    <n v="31.872813990461051"/>
    <m/>
    <m/>
  </r>
  <r>
    <x v="0"/>
    <s v="Company Z"/>
    <s v="Capsule"/>
    <s v="500 mg"/>
    <s v="100 ml"/>
    <n v="1633"/>
    <s v="$49748"/>
    <x v="264"/>
    <x v="0"/>
    <s v="Colin Watson"/>
    <s v="Supermarkets"/>
    <n v="49748"/>
    <n v="30.464176362522963"/>
    <m/>
    <m/>
  </r>
  <r>
    <x v="3"/>
    <s v="Company Z"/>
    <s v="Cream"/>
    <s v="10 mg"/>
    <s v="100 ml"/>
    <n v="115"/>
    <s v="$42746"/>
    <x v="31"/>
    <x v="0"/>
    <s v="Melissa Fisher"/>
    <s v="Clinics"/>
    <n v="42746"/>
    <n v="371.70434782608697"/>
    <m/>
    <m/>
  </r>
  <r>
    <x v="1"/>
    <s v="Company Z"/>
    <s v="Injection"/>
    <s v="500 mg"/>
    <n v="30"/>
    <n v="1666"/>
    <s v="$31902"/>
    <x v="207"/>
    <x v="0"/>
    <s v="Andrea Reese"/>
    <s v="Pharmacy"/>
    <n v="31902"/>
    <n v="19.148859543817526"/>
    <m/>
    <m/>
  </r>
  <r>
    <x v="1"/>
    <s v="Company Y"/>
    <s v="Injection"/>
    <s v="10 mg"/>
    <s v="100 ml"/>
    <n v="1141"/>
    <s v="$14925"/>
    <x v="307"/>
    <x v="1"/>
    <s v="Cory Mason"/>
    <s v="Hospitals"/>
    <n v="14925"/>
    <n v="13.080631025416302"/>
    <m/>
    <m/>
  </r>
  <r>
    <x v="3"/>
    <s v="Company X"/>
    <s v="Capsule"/>
    <s v="500 mg"/>
    <s v="50 g"/>
    <n v="684"/>
    <s v="$49285"/>
    <x v="308"/>
    <x v="3"/>
    <s v="Nathaniel Williams"/>
    <s v="Online Pharmacy"/>
    <n v="49285"/>
    <n v="72.054093567251456"/>
    <m/>
    <m/>
  </r>
  <r>
    <x v="2"/>
    <s v="Company W"/>
    <s v="Tablet"/>
    <s v="100 mg/ml"/>
    <s v="100 ml"/>
    <n v="125"/>
    <s v="$27122"/>
    <x v="246"/>
    <x v="2"/>
    <s v="Kara Martin"/>
    <s v="Hospitals"/>
    <n v="27122"/>
    <n v="216.976"/>
    <m/>
    <m/>
  </r>
  <r>
    <x v="0"/>
    <s v="Company Y"/>
    <s v="Syrup"/>
    <s v="10 mg"/>
    <s v="100 ml"/>
    <n v="1257"/>
    <s v="$9065"/>
    <x v="309"/>
    <x v="0"/>
    <s v="Mr. Todd Miller"/>
    <s v="Online Pharmacy"/>
    <n v="9065"/>
    <n v="7.211614956245028"/>
    <m/>
    <m/>
  </r>
  <r>
    <x v="3"/>
    <s v="Company W"/>
    <s v="Syrup"/>
    <s v="250 mg"/>
    <s v="10 ml"/>
    <n v="512"/>
    <s v="$38483"/>
    <x v="70"/>
    <x v="1"/>
    <s v="Paul Brown"/>
    <s v="Hospitals"/>
    <n v="38483"/>
    <n v="75.162109375"/>
    <m/>
    <m/>
  </r>
  <r>
    <x v="0"/>
    <s v="Company Z"/>
    <s v="Tablet"/>
    <s v="500 mg"/>
    <n v="60"/>
    <n v="1978"/>
    <s v="$35271"/>
    <x v="169"/>
    <x v="4"/>
    <s v="Megan Graves"/>
    <s v="Supermarkets"/>
    <n v="35271"/>
    <n v="17.831648129423659"/>
    <m/>
    <m/>
  </r>
  <r>
    <x v="0"/>
    <s v="Company Z"/>
    <s v="Syrup"/>
    <s v="50 mg"/>
    <s v="10 ml"/>
    <n v="452"/>
    <s v="$27833"/>
    <x v="132"/>
    <x v="3"/>
    <s v="Tammy Ford"/>
    <s v="Pharmacy"/>
    <n v="27833"/>
    <n v="61.577433628318587"/>
    <m/>
    <m/>
  </r>
  <r>
    <x v="2"/>
    <s v="Company Y"/>
    <s v="Cream"/>
    <s v="50 mg"/>
    <s v="100 ml"/>
    <n v="1464"/>
    <s v="$13450"/>
    <x v="212"/>
    <x v="4"/>
    <s v="Shannon Rodriguez"/>
    <s v="Hospitals"/>
    <n v="13450"/>
    <n v="9.1871584699453557"/>
    <m/>
    <m/>
  </r>
  <r>
    <x v="1"/>
    <s v="Company V"/>
    <s v="Cream"/>
    <s v="100 mg/ml"/>
    <n v="60"/>
    <n v="1259"/>
    <s v="$34258"/>
    <x v="104"/>
    <x v="4"/>
    <s v="Robert Gomez"/>
    <s v="Online Pharmacy"/>
    <n v="34258"/>
    <n v="27.210484511517077"/>
    <m/>
    <m/>
  </r>
  <r>
    <x v="0"/>
    <s v="Company Z"/>
    <s v="Injection"/>
    <s v="50 mg"/>
    <s v="10 ml"/>
    <n v="997"/>
    <s v="$6288"/>
    <x v="52"/>
    <x v="4"/>
    <s v="Joshua Owens"/>
    <s v="Supermarkets"/>
    <n v="6288"/>
    <n v="6.3069207622868602"/>
    <m/>
    <m/>
  </r>
  <r>
    <x v="3"/>
    <s v="Company V"/>
    <s v="Cream"/>
    <s v="50 mg"/>
    <n v="60"/>
    <n v="324"/>
    <s v="$16995"/>
    <x v="285"/>
    <x v="3"/>
    <s v="Rebecca Armstrong"/>
    <s v="Pharmacy"/>
    <n v="16995"/>
    <n v="52.453703703703702"/>
    <m/>
    <m/>
  </r>
  <r>
    <x v="3"/>
    <s v="Company X"/>
    <s v="Syrup"/>
    <s v="10 mg"/>
    <s v="100 ml"/>
    <n v="153"/>
    <s v="$48959"/>
    <x v="310"/>
    <x v="3"/>
    <s v="Anthony Zimmerman"/>
    <s v="Clinics"/>
    <n v="48959"/>
    <n v="319.99346405228761"/>
    <m/>
    <m/>
  </r>
  <r>
    <x v="1"/>
    <s v="Company Y"/>
    <s v="Cream"/>
    <s v="10 mg"/>
    <s v="50 g"/>
    <n v="1927"/>
    <s v="$36009"/>
    <x v="170"/>
    <x v="1"/>
    <s v="Travis Norton"/>
    <s v="Hospitals"/>
    <n v="36009"/>
    <n v="18.686559418785677"/>
    <m/>
    <m/>
  </r>
  <r>
    <x v="0"/>
    <s v="Company X"/>
    <s v="Cream"/>
    <s v="100 mg/ml"/>
    <n v="60"/>
    <n v="463"/>
    <s v="$7692"/>
    <x v="171"/>
    <x v="1"/>
    <s v="Andrew Hernandez"/>
    <s v="Clinics"/>
    <n v="7692"/>
    <n v="16.613390928725703"/>
    <m/>
    <m/>
  </r>
  <r>
    <x v="0"/>
    <s v="Company V"/>
    <s v="Capsule"/>
    <s v="10 mg"/>
    <n v="30"/>
    <n v="1767"/>
    <s v="$37875"/>
    <x v="295"/>
    <x v="3"/>
    <s v="Lindsay Obrien"/>
    <s v="Clinics"/>
    <n v="37875"/>
    <n v="21.434634974533108"/>
    <m/>
    <m/>
  </r>
  <r>
    <x v="4"/>
    <s v="Company W"/>
    <s v="Injection"/>
    <s v="250 mg"/>
    <s v="100 ml"/>
    <n v="1906"/>
    <s v="$37464"/>
    <x v="137"/>
    <x v="2"/>
    <s v="Monica Ruiz MD"/>
    <s v="Pharmacy"/>
    <n v="37464"/>
    <n v="19.655823714585519"/>
    <m/>
    <m/>
  </r>
  <r>
    <x v="2"/>
    <s v="Company X"/>
    <s v="Tablet"/>
    <s v="100 mg/ml"/>
    <n v="30"/>
    <n v="1155"/>
    <s v="$27188"/>
    <x v="280"/>
    <x v="1"/>
    <s v="Courtney Day"/>
    <s v="Online Pharmacy"/>
    <n v="27188"/>
    <n v="23.539393939393939"/>
    <m/>
    <m/>
  </r>
  <r>
    <x v="0"/>
    <s v="Company X"/>
    <s v="Capsule"/>
    <s v="50 mg"/>
    <s v="100 ml"/>
    <n v="752"/>
    <s v="$2969"/>
    <x v="252"/>
    <x v="4"/>
    <s v="Paul Gray"/>
    <s v="Online Pharmacy"/>
    <n v="2969"/>
    <n v="3.9481382978723403"/>
    <m/>
    <m/>
  </r>
  <r>
    <x v="3"/>
    <s v="Company W"/>
    <s v="Injection"/>
    <s v="10 mg"/>
    <n v="30"/>
    <n v="1723"/>
    <s v="$43091"/>
    <x v="311"/>
    <x v="1"/>
    <s v="Wayne Roy"/>
    <s v="Hospitals"/>
    <n v="43091"/>
    <n v="25.009286128845037"/>
    <m/>
    <m/>
  </r>
  <r>
    <x v="2"/>
    <s v="Company Z"/>
    <s v="Capsule"/>
    <s v="100 mg/ml"/>
    <n v="60"/>
    <n v="1337"/>
    <s v="$22675"/>
    <x v="118"/>
    <x v="1"/>
    <s v="Dr. Alexis Cochran"/>
    <s v="Clinics"/>
    <n v="22675"/>
    <n v="16.959611069558715"/>
    <m/>
    <m/>
  </r>
  <r>
    <x v="4"/>
    <s v="Company Y"/>
    <s v="Capsule"/>
    <s v="50 mg"/>
    <n v="60"/>
    <n v="1430"/>
    <s v="$41328"/>
    <x v="257"/>
    <x v="0"/>
    <s v="Crystal Goodman"/>
    <s v="Supermarkets"/>
    <n v="41328"/>
    <n v="28.900699300699301"/>
    <m/>
    <m/>
  </r>
  <r>
    <x v="3"/>
    <s v="Company Y"/>
    <s v="Capsule"/>
    <s v="50 mg"/>
    <s v="100 ml"/>
    <n v="1184"/>
    <s v="$27895"/>
    <x v="135"/>
    <x v="0"/>
    <s v="Kimberly Sutton"/>
    <s v="Clinics"/>
    <n v="27895"/>
    <n v="23.559966216216218"/>
    <m/>
    <m/>
  </r>
  <r>
    <x v="1"/>
    <s v="Company Y"/>
    <s v="Syrup"/>
    <s v="10 mg"/>
    <n v="30"/>
    <n v="506"/>
    <s v="$17762"/>
    <x v="243"/>
    <x v="2"/>
    <s v="Rhonda Williams"/>
    <s v="Pharmacy"/>
    <n v="17762"/>
    <n v="35.102766798418969"/>
    <m/>
    <m/>
  </r>
  <r>
    <x v="4"/>
    <s v="Company Z"/>
    <s v="Capsule"/>
    <s v="500 mg"/>
    <s v="10 ml"/>
    <n v="1085"/>
    <s v="$1367"/>
    <x v="103"/>
    <x v="1"/>
    <s v="Danielle Chen"/>
    <s v="Pharmacy"/>
    <n v="1367"/>
    <n v="1.2599078341013825"/>
    <m/>
    <m/>
  </r>
  <r>
    <x v="2"/>
    <s v="Company V"/>
    <s v="Injection"/>
    <s v="50 mg"/>
    <s v="10 ml"/>
    <n v="1151"/>
    <s v="$23237"/>
    <x v="56"/>
    <x v="3"/>
    <s v="Patrick Miller"/>
    <s v="Hospitals"/>
    <n v="23237"/>
    <n v="20.188531711555168"/>
    <m/>
    <m/>
  </r>
  <r>
    <x v="2"/>
    <s v="Company Z"/>
    <s v="Capsule"/>
    <s v="250 mg"/>
    <s v="100 ml"/>
    <n v="157"/>
    <s v="$17373"/>
    <x v="126"/>
    <x v="4"/>
    <s v="Joyce Adams"/>
    <s v="Clinics"/>
    <n v="17373"/>
    <n v="110.65605095541402"/>
    <m/>
    <m/>
  </r>
  <r>
    <x v="4"/>
    <s v="Company W"/>
    <s v="Injection"/>
    <s v="500 mg"/>
    <s v="10 ml"/>
    <n v="1665"/>
    <s v="$49986"/>
    <x v="245"/>
    <x v="4"/>
    <s v="Ian Rangel"/>
    <s v="Online Pharmacy"/>
    <n v="49986"/>
    <n v="30.021621621621623"/>
    <m/>
    <m/>
  </r>
  <r>
    <x v="4"/>
    <s v="Company Y"/>
    <s v="Cream"/>
    <s v="50 mg"/>
    <n v="30"/>
    <n v="206"/>
    <s v="$35133"/>
    <x v="20"/>
    <x v="1"/>
    <s v="Justin Montgomery"/>
    <s v="Hospitals"/>
    <n v="35133"/>
    <n v="170.54854368932038"/>
    <m/>
    <m/>
  </r>
  <r>
    <x v="2"/>
    <s v="Company V"/>
    <s v="Tablet"/>
    <s v="100 mg/ml"/>
    <n v="30"/>
    <n v="1348"/>
    <s v="$37823"/>
    <x v="151"/>
    <x v="1"/>
    <s v="Jimmy Cox"/>
    <s v="Supermarkets"/>
    <n v="37823"/>
    <n v="28.058605341246292"/>
    <m/>
    <m/>
  </r>
  <r>
    <x v="4"/>
    <s v="Company V"/>
    <s v="Tablet"/>
    <s v="500 mg"/>
    <n v="60"/>
    <n v="1397"/>
    <s v="$45903"/>
    <x v="285"/>
    <x v="2"/>
    <s v="Jade Collins"/>
    <s v="Clinics"/>
    <n v="45903"/>
    <n v="32.85826771653543"/>
    <m/>
    <m/>
  </r>
  <r>
    <x v="0"/>
    <s v="Company V"/>
    <s v="Tablet"/>
    <s v="50 mg"/>
    <s v="100 ml"/>
    <n v="1514"/>
    <s v="$24056"/>
    <x v="188"/>
    <x v="3"/>
    <s v="Brittany Bradford"/>
    <s v="Clinics"/>
    <n v="24056"/>
    <n v="15.889035667107001"/>
    <m/>
    <m/>
  </r>
  <r>
    <x v="0"/>
    <s v="Company V"/>
    <s v="Tablet"/>
    <s v="50 mg"/>
    <n v="30"/>
    <n v="160"/>
    <s v="$14104"/>
    <x v="40"/>
    <x v="4"/>
    <s v="David Oconnor"/>
    <s v="Clinics"/>
    <n v="14104"/>
    <n v="88.15"/>
    <m/>
    <m/>
  </r>
  <r>
    <x v="2"/>
    <s v="Company V"/>
    <s v="Injection"/>
    <s v="500 mg"/>
    <n v="60"/>
    <n v="1386"/>
    <s v="$21572"/>
    <x v="45"/>
    <x v="2"/>
    <s v="Deanna Becker"/>
    <s v="Hospitals"/>
    <n v="21572"/>
    <n v="15.564213564213564"/>
    <m/>
    <m/>
  </r>
  <r>
    <x v="2"/>
    <s v="Company Y"/>
    <s v="Cream"/>
    <s v="500 mg"/>
    <n v="60"/>
    <n v="348"/>
    <s v="$3487"/>
    <x v="103"/>
    <x v="1"/>
    <s v="David Ryan"/>
    <s v="Pharmacy"/>
    <n v="3487"/>
    <n v="10.020114942528735"/>
    <m/>
    <m/>
  </r>
  <r>
    <x v="4"/>
    <s v="Company W"/>
    <s v="Capsule"/>
    <s v="10 mg"/>
    <s v="50 g"/>
    <n v="1100"/>
    <s v="$3858"/>
    <x v="242"/>
    <x v="2"/>
    <s v="Curtis Khan"/>
    <s v="Hospitals"/>
    <n v="3858"/>
    <n v="3.5072727272727273"/>
    <m/>
    <m/>
  </r>
  <r>
    <x v="2"/>
    <s v="Company Y"/>
    <s v="Capsule"/>
    <s v="100 mg/ml"/>
    <n v="60"/>
    <n v="514"/>
    <s v="$39240"/>
    <x v="184"/>
    <x v="1"/>
    <s v="Dr. Mary Alexander"/>
    <s v="Supermarkets"/>
    <n v="39240"/>
    <n v="76.342412451361866"/>
    <m/>
    <m/>
  </r>
  <r>
    <x v="0"/>
    <s v="Company W"/>
    <s v="Syrup"/>
    <s v="100 mg/ml"/>
    <s v="100 ml"/>
    <n v="1752"/>
    <s v="$38068"/>
    <x v="287"/>
    <x v="4"/>
    <s v="Monique Cruz"/>
    <s v="Online Pharmacy"/>
    <n v="38068"/>
    <n v="21.728310502283104"/>
    <m/>
    <m/>
  </r>
  <r>
    <x v="3"/>
    <s v="Company W"/>
    <s v="Cream"/>
    <s v="100 mg/ml"/>
    <s v="10 ml"/>
    <n v="358"/>
    <s v="$13438"/>
    <x v="192"/>
    <x v="3"/>
    <s v="Victoria Powell"/>
    <s v="Supermarkets"/>
    <n v="13438"/>
    <n v="37.536312849162009"/>
    <m/>
    <m/>
  </r>
  <r>
    <x v="3"/>
    <s v="Company Y"/>
    <s v="Capsule"/>
    <s v="500 mg"/>
    <s v="10 ml"/>
    <n v="506"/>
    <s v="$28350"/>
    <x v="210"/>
    <x v="2"/>
    <s v="Stephen Becker"/>
    <s v="Supermarkets"/>
    <n v="28350"/>
    <n v="56.027667984189726"/>
    <m/>
    <m/>
  </r>
  <r>
    <x v="1"/>
    <s v="Company Y"/>
    <s v="Tablet"/>
    <s v="100 mg/ml"/>
    <s v="100 ml"/>
    <n v="1938"/>
    <s v="$28072"/>
    <x v="129"/>
    <x v="2"/>
    <s v="Kirsten Dillon"/>
    <s v="Online Pharmacy"/>
    <n v="28072"/>
    <n v="14.485036119711042"/>
    <m/>
    <m/>
  </r>
  <r>
    <x v="0"/>
    <s v="Company V"/>
    <s v="Capsule"/>
    <s v="500 mg"/>
    <s v="10 ml"/>
    <n v="794"/>
    <s v="$29529"/>
    <x v="76"/>
    <x v="4"/>
    <s v="Victoria Miller"/>
    <s v="Clinics"/>
    <n v="29529"/>
    <n v="37.190176322418139"/>
    <m/>
    <m/>
  </r>
  <r>
    <x v="3"/>
    <s v="Company X"/>
    <s v="Injection"/>
    <s v="500 mg"/>
    <s v="10 ml"/>
    <n v="483"/>
    <s v="$26712"/>
    <x v="211"/>
    <x v="4"/>
    <s v="Jordan Guzman"/>
    <s v="Pharmacy"/>
    <n v="26712"/>
    <n v="55.304347826086953"/>
    <m/>
    <m/>
  </r>
  <r>
    <x v="4"/>
    <s v="Company V"/>
    <s v="Cream"/>
    <s v="100 mg/ml"/>
    <s v="50 g"/>
    <n v="1884"/>
    <s v="$23635"/>
    <x v="193"/>
    <x v="2"/>
    <s v="Julia Rivera MD"/>
    <s v="Supermarkets"/>
    <n v="23635"/>
    <n v="12.545116772823778"/>
    <m/>
    <m/>
  </r>
  <r>
    <x v="4"/>
    <s v="Company Y"/>
    <s v="Cream"/>
    <s v="50 mg"/>
    <s v="10 ml"/>
    <n v="735"/>
    <s v="$40658"/>
    <x v="29"/>
    <x v="1"/>
    <s v="Joseph Harris"/>
    <s v="Online Pharmacy"/>
    <n v="40658"/>
    <n v="55.317006802721089"/>
    <m/>
    <m/>
  </r>
  <r>
    <x v="0"/>
    <s v="Company V"/>
    <s v="Syrup"/>
    <s v="100 mg/ml"/>
    <s v="50 g"/>
    <n v="274"/>
    <s v="$30681"/>
    <x v="92"/>
    <x v="2"/>
    <s v="Michael Saunders"/>
    <s v="Supermarkets"/>
    <n v="30681"/>
    <n v="111.97445255474453"/>
    <m/>
    <m/>
  </r>
  <r>
    <x v="2"/>
    <s v="Company V"/>
    <s v="Tablet"/>
    <s v="500 mg"/>
    <s v="50 g"/>
    <n v="1805"/>
    <s v="$40381"/>
    <x v="210"/>
    <x v="4"/>
    <s v="Kimberly Rice"/>
    <s v="Hospitals"/>
    <n v="40381"/>
    <n v="22.371745152354571"/>
    <m/>
    <m/>
  </r>
  <r>
    <x v="0"/>
    <s v="Company Y"/>
    <s v="Capsule"/>
    <s v="10 mg"/>
    <s v="50 g"/>
    <n v="873"/>
    <s v="$28594"/>
    <x v="66"/>
    <x v="3"/>
    <s v="Daniel Alexander"/>
    <s v="Clinics"/>
    <n v="28594"/>
    <n v="32.753722794959906"/>
    <m/>
    <m/>
  </r>
  <r>
    <x v="3"/>
    <s v="Company W"/>
    <s v="Syrup"/>
    <s v="500 mg"/>
    <s v="100 ml"/>
    <n v="132"/>
    <s v="$44778"/>
    <x v="128"/>
    <x v="2"/>
    <s v="Alicia Castillo"/>
    <s v="Hospitals"/>
    <n v="44778"/>
    <n v="339.22727272727275"/>
    <m/>
    <m/>
  </r>
  <r>
    <x v="3"/>
    <s v="Company W"/>
    <s v="Tablet"/>
    <s v="250 mg"/>
    <s v="50 g"/>
    <n v="1420"/>
    <s v="$14853"/>
    <x v="298"/>
    <x v="3"/>
    <s v="Anna Odonnell"/>
    <s v="Supermarkets"/>
    <n v="14853"/>
    <n v="10.459859154929578"/>
    <m/>
    <m/>
  </r>
  <r>
    <x v="3"/>
    <s v="Company W"/>
    <s v="Injection"/>
    <s v="100 mg/ml"/>
    <s v="50 g"/>
    <n v="1683"/>
    <s v="$29645"/>
    <x v="224"/>
    <x v="3"/>
    <s v="Gabriel Lowe"/>
    <s v="Online Pharmacy"/>
    <n v="29645"/>
    <n v="17.614379084967322"/>
    <m/>
    <m/>
  </r>
  <r>
    <x v="1"/>
    <s v="Company Y"/>
    <s v="Injection"/>
    <s v="250 mg"/>
    <n v="60"/>
    <n v="1143"/>
    <s v="$43589"/>
    <x v="312"/>
    <x v="2"/>
    <s v="Brent Kemp"/>
    <s v="Supermarkets"/>
    <n v="43589"/>
    <n v="38.135608048993873"/>
    <m/>
    <m/>
  </r>
  <r>
    <x v="0"/>
    <s v="Company Z"/>
    <s v="Cream"/>
    <s v="500 mg"/>
    <n v="30"/>
    <n v="223"/>
    <s v="$2979"/>
    <x v="293"/>
    <x v="3"/>
    <s v="Susan Owens"/>
    <s v="Clinics"/>
    <n v="2979"/>
    <n v="13.358744394618833"/>
    <m/>
    <m/>
  </r>
  <r>
    <x v="2"/>
    <s v="Company X"/>
    <s v="Syrup"/>
    <s v="10 mg"/>
    <n v="60"/>
    <n v="1324"/>
    <s v="$4688"/>
    <x v="90"/>
    <x v="2"/>
    <s v="Anthony Jenkins"/>
    <s v="Clinics"/>
    <n v="4688"/>
    <n v="3.5407854984894258"/>
    <m/>
    <m/>
  </r>
  <r>
    <x v="1"/>
    <s v="Company V"/>
    <s v="Injection"/>
    <s v="250 mg"/>
    <s v="100 ml"/>
    <n v="194"/>
    <s v="$24534"/>
    <x v="278"/>
    <x v="3"/>
    <s v="Robin Coleman"/>
    <s v="Online Pharmacy"/>
    <n v="24534"/>
    <n v="126.4639175257732"/>
    <m/>
    <m/>
  </r>
  <r>
    <x v="2"/>
    <s v="Company Y"/>
    <s v="Tablet"/>
    <s v="10 mg"/>
    <n v="60"/>
    <n v="661"/>
    <s v="$23684"/>
    <x v="179"/>
    <x v="1"/>
    <s v="Thomas Collins"/>
    <s v="Online Pharmacy"/>
    <n v="23684"/>
    <n v="35.83055975794251"/>
    <m/>
    <m/>
  </r>
  <r>
    <x v="0"/>
    <s v="Company Y"/>
    <s v="Tablet"/>
    <s v="10 mg"/>
    <s v="50 g"/>
    <n v="751"/>
    <s v="$19968"/>
    <x v="88"/>
    <x v="0"/>
    <s v="Brittany Williams"/>
    <s v="Pharmacy"/>
    <n v="19968"/>
    <n v="26.588548601864183"/>
    <m/>
    <m/>
  </r>
  <r>
    <x v="0"/>
    <s v="Company V"/>
    <s v="Cream"/>
    <s v="250 mg"/>
    <s v="100 ml"/>
    <n v="1257"/>
    <s v="$23292"/>
    <x v="96"/>
    <x v="4"/>
    <s v="Luis George"/>
    <s v="Pharmacy"/>
    <n v="23292"/>
    <n v="18.529832935560858"/>
    <m/>
    <m/>
  </r>
  <r>
    <x v="4"/>
    <s v="Company V"/>
    <s v="Injection"/>
    <s v="500 mg"/>
    <n v="60"/>
    <n v="302"/>
    <s v="$13102"/>
    <x v="139"/>
    <x v="1"/>
    <s v="James Edwards"/>
    <s v="Online Pharmacy"/>
    <n v="13102"/>
    <n v="43.384105960264904"/>
    <m/>
    <m/>
  </r>
  <r>
    <x v="4"/>
    <s v="Company Y"/>
    <s v="Capsule"/>
    <s v="500 mg"/>
    <s v="100 ml"/>
    <n v="952"/>
    <s v="$24617"/>
    <x v="297"/>
    <x v="4"/>
    <s v="Mary Jones"/>
    <s v="Pharmacy"/>
    <n v="24617"/>
    <n v="25.858193277310924"/>
    <m/>
    <m/>
  </r>
  <r>
    <x v="3"/>
    <s v="Company X"/>
    <s v="Capsule"/>
    <s v="10 mg"/>
    <s v="100 ml"/>
    <n v="507"/>
    <s v="$10837"/>
    <x v="217"/>
    <x v="2"/>
    <s v="Jennifer Martinez"/>
    <s v="Online Pharmacy"/>
    <n v="10837"/>
    <n v="21.374753451676529"/>
    <m/>
    <m/>
  </r>
  <r>
    <x v="0"/>
    <s v="Company V"/>
    <s v="Cream"/>
    <s v="10 mg"/>
    <s v="50 g"/>
    <n v="1325"/>
    <s v="$29008"/>
    <x v="268"/>
    <x v="0"/>
    <s v="James White"/>
    <s v="Clinics"/>
    <n v="29008"/>
    <n v="21.892830188679245"/>
    <m/>
    <m/>
  </r>
  <r>
    <x v="0"/>
    <s v="Company V"/>
    <s v="Tablet"/>
    <s v="10 mg"/>
    <s v="50 g"/>
    <n v="970"/>
    <s v="$30738"/>
    <x v="180"/>
    <x v="1"/>
    <s v="Cindy White"/>
    <s v="Pharmacy"/>
    <n v="30738"/>
    <n v="31.688659793814434"/>
    <m/>
    <m/>
  </r>
  <r>
    <x v="1"/>
    <s v="Company W"/>
    <s v="Capsule"/>
    <s v="500 mg"/>
    <s v="50 g"/>
    <n v="1034"/>
    <s v="$9255"/>
    <x v="75"/>
    <x v="2"/>
    <s v="Paul Schmidt"/>
    <s v="Supermarkets"/>
    <n v="9255"/>
    <n v="8.9506769825918759"/>
    <m/>
    <m/>
  </r>
  <r>
    <x v="1"/>
    <s v="Company Z"/>
    <s v="Capsule"/>
    <s v="100 mg/ml"/>
    <s v="100 ml"/>
    <n v="1127"/>
    <s v="$3828"/>
    <x v="151"/>
    <x v="0"/>
    <s v="Sherry Higgins"/>
    <s v="Hospitals"/>
    <n v="3828"/>
    <n v="3.3966282165039927"/>
    <m/>
    <m/>
  </r>
  <r>
    <x v="1"/>
    <s v="Company Z"/>
    <s v="Syrup"/>
    <s v="250 mg"/>
    <n v="30"/>
    <n v="347"/>
    <s v="$46219"/>
    <x v="72"/>
    <x v="1"/>
    <s v="Shannon French"/>
    <s v="Pharmacy"/>
    <n v="46219"/>
    <n v="133.19596541786743"/>
    <m/>
    <m/>
  </r>
  <r>
    <x v="2"/>
    <s v="Company Y"/>
    <s v="Syrup"/>
    <s v="10 mg"/>
    <s v="50 g"/>
    <n v="1032"/>
    <s v="$37678"/>
    <x v="179"/>
    <x v="4"/>
    <s v="Jennifer Gonzales"/>
    <s v="Clinics"/>
    <n v="37678"/>
    <n v="36.509689922480618"/>
    <m/>
    <m/>
  </r>
  <r>
    <x v="0"/>
    <s v="Company Z"/>
    <s v="Tablet"/>
    <s v="50 mg"/>
    <n v="30"/>
    <n v="1105"/>
    <s v="$35389"/>
    <x v="142"/>
    <x v="2"/>
    <s v="Thomas Davis"/>
    <s v="Pharmacy"/>
    <n v="35389"/>
    <n v="32.026244343891406"/>
    <m/>
    <m/>
  </r>
  <r>
    <x v="0"/>
    <s v="Company V"/>
    <s v="Syrup"/>
    <s v="250 mg"/>
    <s v="100 ml"/>
    <n v="107"/>
    <s v="$11533"/>
    <x v="189"/>
    <x v="0"/>
    <s v="Joseph Moore"/>
    <s v="Online Pharmacy"/>
    <n v="11533"/>
    <n v="107.78504672897196"/>
    <m/>
    <m/>
  </r>
  <r>
    <x v="1"/>
    <s v="Company Z"/>
    <s v="Cream"/>
    <s v="100 mg/ml"/>
    <n v="60"/>
    <n v="585"/>
    <s v="$37206"/>
    <x v="146"/>
    <x v="4"/>
    <s v="Jerry Hanson"/>
    <s v="Online Pharmacy"/>
    <n v="37206"/>
    <n v="63.6"/>
    <m/>
    <m/>
  </r>
  <r>
    <x v="1"/>
    <s v="Company X"/>
    <s v="Tablet"/>
    <s v="500 mg"/>
    <n v="30"/>
    <n v="1915"/>
    <s v="$6442"/>
    <x v="313"/>
    <x v="0"/>
    <s v="Jennifer Tucker"/>
    <s v="Online Pharmacy"/>
    <n v="6442"/>
    <n v="3.3639686684073107"/>
    <m/>
    <m/>
  </r>
  <r>
    <x v="0"/>
    <s v="Company W"/>
    <s v="Cream"/>
    <s v="250 mg"/>
    <s v="100 ml"/>
    <n v="1228"/>
    <s v="$47317"/>
    <x v="158"/>
    <x v="3"/>
    <s v="Amanda Garcia"/>
    <s v="Pharmacy"/>
    <n v="47317"/>
    <n v="38.531758957654723"/>
    <m/>
    <m/>
  </r>
  <r>
    <x v="4"/>
    <s v="Company X"/>
    <s v="Injection"/>
    <s v="10 mg"/>
    <n v="60"/>
    <n v="728"/>
    <s v="$17927"/>
    <x v="12"/>
    <x v="4"/>
    <s v="Jessica Kelly"/>
    <s v="Online Pharmacy"/>
    <n v="17927"/>
    <n v="24.625"/>
    <m/>
    <m/>
  </r>
  <r>
    <x v="2"/>
    <s v="Company X"/>
    <s v="Injection"/>
    <s v="50 mg"/>
    <s v="100 ml"/>
    <n v="938"/>
    <s v="$49452"/>
    <x v="275"/>
    <x v="3"/>
    <s v="James Fuller"/>
    <s v="Hospitals"/>
    <n v="49452"/>
    <n v="52.720682302771856"/>
    <m/>
    <m/>
  </r>
  <r>
    <x v="0"/>
    <s v="Company W"/>
    <s v="Injection"/>
    <s v="100 mg/ml"/>
    <s v="50 g"/>
    <n v="1140"/>
    <s v="$37493"/>
    <x v="314"/>
    <x v="4"/>
    <s v="Maria Proctor"/>
    <s v="Hospitals"/>
    <n v="37493"/>
    <n v="32.888596491228071"/>
    <m/>
    <m/>
  </r>
  <r>
    <x v="4"/>
    <s v="Company V"/>
    <s v="Cream"/>
    <s v="250 mg"/>
    <s v="10 ml"/>
    <n v="493"/>
    <s v="$37610"/>
    <x v="41"/>
    <x v="3"/>
    <s v="John Fowler"/>
    <s v="Hospitals"/>
    <n v="37610"/>
    <n v="76.288032454361058"/>
    <m/>
    <m/>
  </r>
  <r>
    <x v="4"/>
    <s v="Company Y"/>
    <s v="Syrup"/>
    <s v="250 mg"/>
    <s v="10 ml"/>
    <n v="1358"/>
    <s v="$3735"/>
    <x v="64"/>
    <x v="3"/>
    <s v="Jason Nelson"/>
    <s v="Clinics"/>
    <n v="3735"/>
    <n v="2.7503681885125184"/>
    <m/>
    <m/>
  </r>
  <r>
    <x v="3"/>
    <s v="Company Z"/>
    <s v="Cream"/>
    <s v="500 mg"/>
    <s v="50 g"/>
    <n v="269"/>
    <s v="$43198"/>
    <x v="134"/>
    <x v="2"/>
    <s v="Marvin Wu"/>
    <s v="Pharmacy"/>
    <n v="43198"/>
    <n v="160.58736059479554"/>
    <m/>
    <m/>
  </r>
  <r>
    <x v="0"/>
    <s v="Company X"/>
    <s v="Cream"/>
    <s v="250 mg"/>
    <n v="30"/>
    <n v="201"/>
    <s v="$24265"/>
    <x v="199"/>
    <x v="2"/>
    <s v="Emily Singleton"/>
    <s v="Online Pharmacy"/>
    <n v="24265"/>
    <n v="120.72139303482587"/>
    <m/>
    <m/>
  </r>
  <r>
    <x v="1"/>
    <s v="Company Y"/>
    <s v="Cream"/>
    <s v="50 mg"/>
    <n v="30"/>
    <n v="1918"/>
    <s v="$16223"/>
    <x v="182"/>
    <x v="2"/>
    <s v="Colin Lee"/>
    <s v="Hospitals"/>
    <n v="16223"/>
    <n v="8.4582898852971837"/>
    <m/>
    <m/>
  </r>
  <r>
    <x v="4"/>
    <s v="Company W"/>
    <s v="Injection"/>
    <s v="100 mg/ml"/>
    <n v="60"/>
    <n v="1337"/>
    <s v="$12997"/>
    <x v="213"/>
    <x v="3"/>
    <s v="Mathew Johnson"/>
    <s v="Supermarkets"/>
    <n v="12997"/>
    <n v="9.7210172026925949"/>
    <m/>
    <m/>
  </r>
  <r>
    <x v="4"/>
    <s v="Company X"/>
    <s v="Syrup"/>
    <s v="100 mg/ml"/>
    <s v="100 ml"/>
    <n v="483"/>
    <s v="$25162"/>
    <x v="315"/>
    <x v="1"/>
    <s v="Christopher Ramirez"/>
    <s v="Supermarkets"/>
    <n v="25162"/>
    <n v="52.095238095238095"/>
    <m/>
    <m/>
  </r>
  <r>
    <x v="3"/>
    <s v="Company Y"/>
    <s v="Injection"/>
    <s v="500 mg"/>
    <s v="50 g"/>
    <n v="105"/>
    <s v="$31985"/>
    <x v="52"/>
    <x v="0"/>
    <s v="Samuel Ortiz"/>
    <s v="Supermarkets"/>
    <n v="31985"/>
    <n v="304.61904761904759"/>
    <m/>
    <m/>
  </r>
  <r>
    <x v="1"/>
    <s v="Company V"/>
    <s v="Cream"/>
    <s v="50 mg"/>
    <n v="60"/>
    <n v="1760"/>
    <s v="$24924"/>
    <x v="202"/>
    <x v="3"/>
    <s v="Megan Reese"/>
    <s v="Online Pharmacy"/>
    <n v="24924"/>
    <n v="14.161363636363637"/>
    <m/>
    <m/>
  </r>
  <r>
    <x v="3"/>
    <s v="Company X"/>
    <s v="Cream"/>
    <s v="10 mg"/>
    <n v="60"/>
    <n v="835"/>
    <s v="$35184"/>
    <x v="263"/>
    <x v="4"/>
    <s v="Rachel White"/>
    <s v="Supermarkets"/>
    <n v="35184"/>
    <n v="42.136526946107786"/>
    <m/>
    <m/>
  </r>
  <r>
    <x v="0"/>
    <s v="Company Y"/>
    <s v="Injection"/>
    <s v="50 mg"/>
    <s v="10 ml"/>
    <n v="122"/>
    <s v="$7349"/>
    <x v="185"/>
    <x v="3"/>
    <s v="Michael Mclaughlin"/>
    <s v="Pharmacy"/>
    <n v="7349"/>
    <n v="60.23770491803279"/>
    <m/>
    <m/>
  </r>
  <r>
    <x v="2"/>
    <s v="Company Y"/>
    <s v="Syrup"/>
    <s v="250 mg"/>
    <n v="30"/>
    <n v="1415"/>
    <s v="$41330"/>
    <x v="28"/>
    <x v="3"/>
    <s v="Paul Gibson"/>
    <s v="Pharmacy"/>
    <n v="41330"/>
    <n v="29.208480565371026"/>
    <m/>
    <m/>
  </r>
  <r>
    <x v="1"/>
    <s v="Company W"/>
    <s v="Tablet"/>
    <s v="100 mg/ml"/>
    <s v="50 g"/>
    <n v="1993"/>
    <s v="$5212"/>
    <x v="316"/>
    <x v="1"/>
    <s v="Timothy Sanchez"/>
    <s v="Clinics"/>
    <n v="5212"/>
    <n v="2.6151530356246866"/>
    <m/>
    <m/>
  </r>
  <r>
    <x v="1"/>
    <s v="Company X"/>
    <s v="Tablet"/>
    <s v="500 mg"/>
    <s v="50 g"/>
    <n v="958"/>
    <s v="$15537"/>
    <x v="254"/>
    <x v="4"/>
    <s v="Lori Smith"/>
    <s v="Clinics"/>
    <n v="15537"/>
    <n v="16.218162839248436"/>
    <m/>
    <m/>
  </r>
  <r>
    <x v="3"/>
    <s v="Company W"/>
    <s v="Injection"/>
    <s v="50 mg"/>
    <s v="10 ml"/>
    <n v="1616"/>
    <s v="$15777"/>
    <x v="127"/>
    <x v="4"/>
    <s v="Julie Carpenter"/>
    <s v="Clinics"/>
    <n v="15777"/>
    <n v="9.7629950495049513"/>
    <m/>
    <m/>
  </r>
  <r>
    <x v="1"/>
    <s v="Company W"/>
    <s v="Syrup"/>
    <s v="100 mg/ml"/>
    <s v="50 g"/>
    <n v="922"/>
    <s v="$32819"/>
    <x v="18"/>
    <x v="3"/>
    <s v="Barbara Baldwin"/>
    <s v="Pharmacy"/>
    <n v="32819"/>
    <n v="35.595444685466376"/>
    <m/>
    <m/>
  </r>
  <r>
    <x v="0"/>
    <s v="Company W"/>
    <s v="Cream"/>
    <s v="10 mg"/>
    <n v="30"/>
    <n v="580"/>
    <s v="$41566"/>
    <x v="198"/>
    <x v="1"/>
    <s v="Jason Brooks"/>
    <s v="Hospitals"/>
    <n v="41566"/>
    <n v="71.665517241379305"/>
    <m/>
    <m/>
  </r>
  <r>
    <x v="0"/>
    <s v="Company X"/>
    <s v="Tablet"/>
    <s v="250 mg"/>
    <s v="100 ml"/>
    <n v="561"/>
    <s v="$42268"/>
    <x v="158"/>
    <x v="2"/>
    <s v="Linda Brown"/>
    <s v="Supermarkets"/>
    <n v="42268"/>
    <n v="75.344028520499108"/>
    <m/>
    <m/>
  </r>
  <r>
    <x v="2"/>
    <s v="Company W"/>
    <s v="Capsule"/>
    <s v="50 mg"/>
    <n v="30"/>
    <n v="1709"/>
    <s v="$28361"/>
    <x v="293"/>
    <x v="0"/>
    <s v="Ernest Moyer"/>
    <s v="Pharmacy"/>
    <n v="28361"/>
    <n v="16.595084844938562"/>
    <m/>
    <m/>
  </r>
  <r>
    <x v="2"/>
    <s v="Company Y"/>
    <s v="Tablet"/>
    <s v="500 mg"/>
    <s v="50 g"/>
    <n v="1662"/>
    <s v="$43524"/>
    <x v="219"/>
    <x v="3"/>
    <s v="Melissa Rodriguez"/>
    <s v="Pharmacy"/>
    <n v="43524"/>
    <n v="26.187725631768952"/>
    <m/>
    <m/>
  </r>
  <r>
    <x v="4"/>
    <s v="Company X"/>
    <s v="Syrup"/>
    <s v="500 mg"/>
    <n v="30"/>
    <n v="643"/>
    <s v="$42567"/>
    <x v="43"/>
    <x v="0"/>
    <s v="Austin Bowen"/>
    <s v="Hospitals"/>
    <n v="42567"/>
    <n v="66.200622083981344"/>
    <m/>
    <m/>
  </r>
  <r>
    <x v="3"/>
    <s v="Company X"/>
    <s v="Capsule"/>
    <s v="100 mg/ml"/>
    <s v="10 ml"/>
    <n v="1618"/>
    <s v="$11577"/>
    <x v="317"/>
    <x v="4"/>
    <s v="Nicholas French"/>
    <s v="Online Pharmacy"/>
    <n v="11577"/>
    <n v="7.1551297898640298"/>
    <m/>
    <m/>
  </r>
  <r>
    <x v="0"/>
    <s v="Company W"/>
    <s v="Cream"/>
    <s v="500 mg"/>
    <n v="60"/>
    <n v="1616"/>
    <s v="$21763"/>
    <x v="3"/>
    <x v="3"/>
    <s v="Lauren Jones"/>
    <s v="Clinics"/>
    <n v="21763"/>
    <n v="13.467202970297029"/>
    <m/>
    <m/>
  </r>
  <r>
    <x v="0"/>
    <s v="Company X"/>
    <s v="Injection"/>
    <s v="50 mg"/>
    <n v="60"/>
    <n v="1817"/>
    <s v="$36872"/>
    <x v="183"/>
    <x v="4"/>
    <s v="Sean Butler"/>
    <s v="Hospitals"/>
    <n v="36872"/>
    <n v="20.292790313703907"/>
    <m/>
    <m/>
  </r>
  <r>
    <x v="4"/>
    <s v="Company Z"/>
    <s v="Syrup"/>
    <s v="10 mg"/>
    <s v="100 ml"/>
    <n v="280"/>
    <s v="$29505"/>
    <x v="73"/>
    <x v="4"/>
    <s v="Michael Wiley"/>
    <s v="Supermarkets"/>
    <n v="29505"/>
    <n v="105.375"/>
    <m/>
    <m/>
  </r>
  <r>
    <x v="2"/>
    <s v="Company W"/>
    <s v="Cream"/>
    <s v="100 mg/ml"/>
    <s v="10 ml"/>
    <n v="519"/>
    <s v="$3961"/>
    <x v="165"/>
    <x v="4"/>
    <s v="James Lara"/>
    <s v="Online Pharmacy"/>
    <n v="3961"/>
    <n v="7.6319845857418116"/>
    <m/>
    <m/>
  </r>
  <r>
    <x v="2"/>
    <s v="Company W"/>
    <s v="Capsule"/>
    <s v="250 mg"/>
    <s v="10 ml"/>
    <n v="1355"/>
    <s v="$9822"/>
    <x v="153"/>
    <x v="1"/>
    <s v="Jessica Miller"/>
    <s v="Clinics"/>
    <n v="9822"/>
    <n v="7.2487084870848708"/>
    <m/>
    <m/>
  </r>
  <r>
    <x v="4"/>
    <s v="Company V"/>
    <s v="Cream"/>
    <s v="500 mg"/>
    <s v="100 ml"/>
    <n v="1289"/>
    <s v="$40553"/>
    <x v="100"/>
    <x v="3"/>
    <s v="Alvin Rios"/>
    <s v="Hospitals"/>
    <n v="40553"/>
    <n v="31.460822342901473"/>
    <m/>
    <m/>
  </r>
  <r>
    <x v="4"/>
    <s v="Company Y"/>
    <s v="Injection"/>
    <s v="10 mg"/>
    <n v="60"/>
    <n v="1578"/>
    <s v="$18160"/>
    <x v="13"/>
    <x v="2"/>
    <s v="James Goodman"/>
    <s v="Pharmacy"/>
    <n v="18160"/>
    <n v="11.508238276299112"/>
    <m/>
    <m/>
  </r>
  <r>
    <x v="4"/>
    <s v="Company Z"/>
    <s v="Cream"/>
    <s v="10 mg"/>
    <s v="100 ml"/>
    <n v="854"/>
    <s v="$45168"/>
    <x v="313"/>
    <x v="4"/>
    <s v="Erica Adams"/>
    <s v="Pharmacy"/>
    <n v="45168"/>
    <n v="52.889929742388759"/>
    <m/>
    <m/>
  </r>
  <r>
    <x v="2"/>
    <s v="Company X"/>
    <s v="Injection"/>
    <s v="250 mg"/>
    <n v="30"/>
    <n v="1875"/>
    <s v="$19837"/>
    <x v="255"/>
    <x v="0"/>
    <s v="Amy Cruz"/>
    <s v="Clinics"/>
    <n v="19837"/>
    <n v="10.579733333333333"/>
    <m/>
    <m/>
  </r>
  <r>
    <x v="2"/>
    <s v="Company Z"/>
    <s v="Cream"/>
    <s v="250 mg"/>
    <s v="50 g"/>
    <n v="1105"/>
    <s v="$16306"/>
    <x v="278"/>
    <x v="0"/>
    <s v="Michael Clark"/>
    <s v="Pharmacy"/>
    <n v="16306"/>
    <n v="14.756561085972852"/>
    <m/>
    <m/>
  </r>
  <r>
    <x v="0"/>
    <s v="Company Z"/>
    <s v="Cream"/>
    <s v="50 mg"/>
    <s v="100 ml"/>
    <n v="503"/>
    <s v="$28974"/>
    <x v="208"/>
    <x v="0"/>
    <s v="Joyce Lopez"/>
    <s v="Pharmacy"/>
    <n v="28974"/>
    <n v="57.602385685884691"/>
    <m/>
    <m/>
  </r>
  <r>
    <x v="1"/>
    <s v="Company V"/>
    <s v="Syrup"/>
    <s v="50 mg"/>
    <n v="60"/>
    <n v="1354"/>
    <s v="$28539"/>
    <x v="318"/>
    <x v="4"/>
    <s v="Keith Allen"/>
    <s v="Clinics"/>
    <n v="28539"/>
    <n v="21.077548005908419"/>
    <m/>
    <m/>
  </r>
  <r>
    <x v="2"/>
    <s v="Company V"/>
    <s v="Tablet"/>
    <s v="10 mg"/>
    <s v="100 ml"/>
    <n v="1716"/>
    <s v="$40609"/>
    <x v="208"/>
    <x v="2"/>
    <s v="Paige Watkins"/>
    <s v="Supermarkets"/>
    <n v="40609"/>
    <n v="23.664918414918414"/>
    <m/>
    <m/>
  </r>
  <r>
    <x v="0"/>
    <s v="Company V"/>
    <s v="Tablet"/>
    <s v="250 mg"/>
    <s v="50 g"/>
    <n v="1268"/>
    <s v="$38392"/>
    <x v="230"/>
    <x v="4"/>
    <s v="Matthew Jones"/>
    <s v="Pharmacy"/>
    <n v="38392"/>
    <n v="30.277602523659304"/>
    <m/>
    <m/>
  </r>
  <r>
    <x v="0"/>
    <s v="Company Z"/>
    <s v="Tablet"/>
    <s v="500 mg"/>
    <n v="60"/>
    <n v="716"/>
    <s v="$38994"/>
    <x v="45"/>
    <x v="0"/>
    <s v="Taylor Williams"/>
    <s v="Pharmacy"/>
    <n v="38994"/>
    <n v="54.460893854748605"/>
    <m/>
    <m/>
  </r>
  <r>
    <x v="1"/>
    <s v="Company W"/>
    <s v="Tablet"/>
    <s v="250 mg"/>
    <s v="50 g"/>
    <n v="1467"/>
    <s v="$18147"/>
    <x v="176"/>
    <x v="2"/>
    <s v="Diane Beltran"/>
    <s v="Online Pharmacy"/>
    <n v="18147"/>
    <n v="12.370143149284253"/>
    <m/>
    <m/>
  </r>
  <r>
    <x v="0"/>
    <s v="Company X"/>
    <s v="Cream"/>
    <s v="250 mg"/>
    <n v="30"/>
    <n v="501"/>
    <s v="$8312"/>
    <x v="132"/>
    <x v="2"/>
    <s v="Paul Espinoza"/>
    <s v="Supermarkets"/>
    <n v="8312"/>
    <n v="16.590818363273453"/>
    <m/>
    <m/>
  </r>
  <r>
    <x v="0"/>
    <s v="Company V"/>
    <s v="Cream"/>
    <s v="250 mg"/>
    <n v="30"/>
    <n v="1127"/>
    <s v="$29324"/>
    <x v="97"/>
    <x v="4"/>
    <s v="Laurie Price"/>
    <s v="Hospitals"/>
    <n v="29324"/>
    <n v="26.019520851818989"/>
    <m/>
    <m/>
  </r>
  <r>
    <x v="1"/>
    <s v="Company Y"/>
    <s v="Syrup"/>
    <s v="10 mg"/>
    <s v="10 ml"/>
    <n v="814"/>
    <s v="$22816"/>
    <x v="167"/>
    <x v="2"/>
    <s v="John Thompson"/>
    <s v="Clinics"/>
    <n v="22816"/>
    <n v="28.029484029484028"/>
    <m/>
    <m/>
  </r>
  <r>
    <x v="4"/>
    <s v="Company W"/>
    <s v="Cream"/>
    <s v="10 mg"/>
    <s v="10 ml"/>
    <n v="1056"/>
    <s v="$4782"/>
    <x v="87"/>
    <x v="1"/>
    <s v="Kara Dixon"/>
    <s v="Hospitals"/>
    <n v="4782"/>
    <n v="4.5284090909090908"/>
    <m/>
    <m/>
  </r>
  <r>
    <x v="4"/>
    <s v="Company X"/>
    <s v="Injection"/>
    <s v="10 mg"/>
    <s v="50 g"/>
    <n v="130"/>
    <s v="$3639"/>
    <x v="46"/>
    <x v="1"/>
    <s v="Jamie Jones"/>
    <s v="Hospitals"/>
    <n v="3639"/>
    <n v="27.992307692307691"/>
    <m/>
    <m/>
  </r>
  <r>
    <x v="4"/>
    <s v="Company W"/>
    <s v="Tablet"/>
    <s v="500 mg"/>
    <s v="50 g"/>
    <n v="760"/>
    <s v="$16495"/>
    <x v="301"/>
    <x v="2"/>
    <s v="Alisha Johnson"/>
    <s v="Supermarkets"/>
    <n v="16495"/>
    <n v="21.703947368421051"/>
    <m/>
    <m/>
  </r>
  <r>
    <x v="1"/>
    <s v="Company X"/>
    <s v="Tablet"/>
    <s v="250 mg"/>
    <s v="10 ml"/>
    <n v="961"/>
    <s v="$47213"/>
    <x v="258"/>
    <x v="1"/>
    <s v="Taylor Villa"/>
    <s v="Online Pharmacy"/>
    <n v="47213"/>
    <n v="49.12903225806452"/>
    <m/>
    <m/>
  </r>
  <r>
    <x v="4"/>
    <s v="Company X"/>
    <s v="Cream"/>
    <s v="100 mg/ml"/>
    <s v="10 ml"/>
    <n v="1410"/>
    <s v="$27514"/>
    <x v="274"/>
    <x v="0"/>
    <s v="Wesley Rodriguez"/>
    <s v="Pharmacy"/>
    <n v="27514"/>
    <n v="19.513475177304965"/>
    <m/>
    <m/>
  </r>
  <r>
    <x v="2"/>
    <s v="Company X"/>
    <s v="Tablet"/>
    <s v="50 mg"/>
    <n v="60"/>
    <n v="1446"/>
    <s v="$22233"/>
    <x v="59"/>
    <x v="3"/>
    <s v="Lisa Cisneros"/>
    <s v="Supermarkets"/>
    <n v="22233"/>
    <n v="15.375518672199171"/>
    <m/>
    <m/>
  </r>
  <r>
    <x v="0"/>
    <s v="Company W"/>
    <s v="Syrup"/>
    <s v="500 mg"/>
    <n v="30"/>
    <n v="1694"/>
    <s v="$17518"/>
    <x v="17"/>
    <x v="1"/>
    <s v="Michael Lawson"/>
    <s v="Hospitals"/>
    <n v="17518"/>
    <n v="10.34120425029516"/>
    <m/>
    <m/>
  </r>
  <r>
    <x v="2"/>
    <s v="Company Y"/>
    <s v="Capsule"/>
    <s v="10 mg"/>
    <s v="10 ml"/>
    <n v="1834"/>
    <s v="$5964"/>
    <x v="319"/>
    <x v="0"/>
    <s v="Christopher Huang"/>
    <s v="Pharmacy"/>
    <n v="5964"/>
    <n v="3.2519083969465647"/>
    <m/>
    <m/>
  </r>
  <r>
    <x v="1"/>
    <s v="Company V"/>
    <s v="Capsule"/>
    <s v="250 mg"/>
    <s v="100 ml"/>
    <n v="737"/>
    <s v="$33901"/>
    <x v="200"/>
    <x v="4"/>
    <s v="Hector Silva"/>
    <s v="Hospitals"/>
    <n v="33901"/>
    <n v="45.998643147896878"/>
    <m/>
    <m/>
  </r>
  <r>
    <x v="3"/>
    <s v="Company V"/>
    <s v="Tablet"/>
    <s v="500 mg"/>
    <s v="100 ml"/>
    <n v="1027"/>
    <s v="$9819"/>
    <x v="269"/>
    <x v="3"/>
    <s v="Mindy Garcia"/>
    <s v="Hospitals"/>
    <n v="9819"/>
    <n v="9.5608568646543333"/>
    <m/>
    <m/>
  </r>
  <r>
    <x v="2"/>
    <s v="Company W"/>
    <s v="Tablet"/>
    <s v="500 mg"/>
    <s v="50 g"/>
    <n v="1000"/>
    <s v="$34947"/>
    <x v="93"/>
    <x v="0"/>
    <s v="Timothy Gray"/>
    <s v="Online Pharmacy"/>
    <n v="34947"/>
    <n v="34.947000000000003"/>
    <m/>
    <m/>
  </r>
  <r>
    <x v="0"/>
    <s v="Company V"/>
    <s v="Capsule"/>
    <s v="250 mg"/>
    <n v="60"/>
    <n v="1732"/>
    <s v="$43643"/>
    <x v="2"/>
    <x v="1"/>
    <s v="Paul Gilbert"/>
    <s v="Clinics"/>
    <n v="43643"/>
    <n v="25.198036951501155"/>
    <m/>
    <m/>
  </r>
  <r>
    <x v="1"/>
    <s v="Company Z"/>
    <s v="Cream"/>
    <s v="250 mg"/>
    <n v="30"/>
    <n v="1686"/>
    <s v="$38320"/>
    <x v="159"/>
    <x v="3"/>
    <s v="Raymond Diaz"/>
    <s v="Clinics"/>
    <n v="38320"/>
    <n v="22.728351126927638"/>
    <m/>
    <m/>
  </r>
  <r>
    <x v="2"/>
    <s v="Company Z"/>
    <s v="Tablet"/>
    <s v="50 mg"/>
    <s v="10 ml"/>
    <n v="1880"/>
    <s v="$13397"/>
    <x v="19"/>
    <x v="0"/>
    <s v="Kenneth Mack"/>
    <s v="Supermarkets"/>
    <n v="13397"/>
    <n v="7.1260638297872338"/>
    <m/>
    <m/>
  </r>
  <r>
    <x v="2"/>
    <s v="Company V"/>
    <s v="Cream"/>
    <s v="10 mg"/>
    <s v="100 ml"/>
    <n v="363"/>
    <s v="$3071"/>
    <x v="20"/>
    <x v="2"/>
    <s v="Michelle Ellis"/>
    <s v="Online Pharmacy"/>
    <n v="3071"/>
    <n v="8.4600550964187331"/>
    <m/>
    <m/>
  </r>
  <r>
    <x v="1"/>
    <s v="Company W"/>
    <s v="Capsule"/>
    <s v="10 mg"/>
    <s v="10 ml"/>
    <n v="152"/>
    <s v="$27219"/>
    <x v="182"/>
    <x v="4"/>
    <s v="Steven Lewis"/>
    <s v="Hospitals"/>
    <n v="27219"/>
    <n v="179.07236842105263"/>
    <m/>
    <m/>
  </r>
  <r>
    <x v="4"/>
    <s v="Company X"/>
    <s v="Capsule"/>
    <s v="50 mg"/>
    <s v="50 g"/>
    <n v="1989"/>
    <s v="$39898"/>
    <x v="118"/>
    <x v="3"/>
    <s v="Wendy Baker"/>
    <s v="Online Pharmacy"/>
    <n v="39898"/>
    <n v="20.059326294620412"/>
    <m/>
    <m/>
  </r>
  <r>
    <x v="2"/>
    <s v="Company Z"/>
    <s v="Cream"/>
    <s v="100 mg/ml"/>
    <n v="30"/>
    <n v="729"/>
    <s v="$17817"/>
    <x v="88"/>
    <x v="4"/>
    <s v="Elizabeth Weber"/>
    <s v="Pharmacy"/>
    <n v="17817"/>
    <n v="24.440329218106996"/>
    <m/>
    <m/>
  </r>
  <r>
    <x v="1"/>
    <s v="Company X"/>
    <s v="Injection"/>
    <s v="100 mg/ml"/>
    <s v="50 g"/>
    <n v="828"/>
    <s v="$3572"/>
    <x v="19"/>
    <x v="4"/>
    <s v="Mark Gilbert"/>
    <s v="Supermarkets"/>
    <n v="3572"/>
    <n v="4.3140096618357484"/>
    <m/>
    <m/>
  </r>
  <r>
    <x v="1"/>
    <s v="Company Z"/>
    <s v="Cream"/>
    <s v="10 mg"/>
    <n v="60"/>
    <n v="984"/>
    <s v="$43213"/>
    <x v="315"/>
    <x v="4"/>
    <s v="Craig Reyes"/>
    <s v="Online Pharmacy"/>
    <n v="43213"/>
    <n v="43.915650406504064"/>
    <m/>
    <m/>
  </r>
  <r>
    <x v="1"/>
    <s v="Company Z"/>
    <s v="Syrup"/>
    <s v="10 mg"/>
    <s v="10 ml"/>
    <n v="1911"/>
    <s v="$40843"/>
    <x v="185"/>
    <x v="2"/>
    <s v="Linda Miller"/>
    <s v="Supermarkets"/>
    <n v="40843"/>
    <n v="21.372579801151229"/>
    <m/>
    <m/>
  </r>
  <r>
    <x v="1"/>
    <s v="Company W"/>
    <s v="Cream"/>
    <s v="10 mg"/>
    <n v="30"/>
    <n v="846"/>
    <s v="$18094"/>
    <x v="166"/>
    <x v="2"/>
    <s v="Michael Pena"/>
    <s v="Online Pharmacy"/>
    <n v="18094"/>
    <n v="21.387706855791961"/>
    <m/>
    <m/>
  </r>
  <r>
    <x v="4"/>
    <s v="Company X"/>
    <s v="Injection"/>
    <s v="10 mg"/>
    <s v="100 ml"/>
    <n v="415"/>
    <s v="$30785"/>
    <x v="320"/>
    <x v="1"/>
    <s v="Dr. Guy Mcguire"/>
    <s v="Hospitals"/>
    <n v="30785"/>
    <n v="74.180722891566262"/>
    <m/>
    <m/>
  </r>
  <r>
    <x v="4"/>
    <s v="Company V"/>
    <s v="Cream"/>
    <s v="10 mg"/>
    <s v="100 ml"/>
    <n v="1507"/>
    <s v="$32408"/>
    <x v="54"/>
    <x v="2"/>
    <s v="James Glenn"/>
    <s v="Clinics"/>
    <n v="32408"/>
    <n v="21.504976775049769"/>
    <m/>
    <m/>
  </r>
  <r>
    <x v="0"/>
    <s v="Company V"/>
    <s v="Injection"/>
    <s v="500 mg"/>
    <s v="50 g"/>
    <n v="889"/>
    <s v="$4285"/>
    <x v="321"/>
    <x v="0"/>
    <s v="Susan Holloway"/>
    <s v="Clinics"/>
    <n v="4285"/>
    <n v="4.8200224971878516"/>
    <m/>
    <m/>
  </r>
  <r>
    <x v="3"/>
    <s v="Company V"/>
    <s v="Tablet"/>
    <s v="50 mg"/>
    <n v="30"/>
    <n v="983"/>
    <s v="$39307"/>
    <x v="189"/>
    <x v="0"/>
    <s v="Isaac Moore"/>
    <s v="Online Pharmacy"/>
    <n v="39307"/>
    <n v="39.986775178026448"/>
    <m/>
    <m/>
  </r>
  <r>
    <x v="1"/>
    <s v="Company Y"/>
    <s v="Syrup"/>
    <s v="100 mg/ml"/>
    <n v="60"/>
    <n v="743"/>
    <s v="$38388"/>
    <x v="200"/>
    <x v="4"/>
    <s v="Alison Santos DDS"/>
    <s v="Hospitals"/>
    <n v="38388"/>
    <n v="51.666218034993271"/>
    <m/>
    <m/>
  </r>
  <r>
    <x v="4"/>
    <s v="Company V"/>
    <s v="Capsule"/>
    <s v="250 mg"/>
    <n v="30"/>
    <n v="255"/>
    <s v="$27581"/>
    <x v="297"/>
    <x v="0"/>
    <s v="Michael Scott"/>
    <s v="Online Pharmacy"/>
    <n v="27581"/>
    <n v="108.16078431372549"/>
    <m/>
    <m/>
  </r>
  <r>
    <x v="4"/>
    <s v="Company Y"/>
    <s v="Syrup"/>
    <s v="50 mg"/>
    <n v="30"/>
    <n v="965"/>
    <s v="$12117"/>
    <x v="131"/>
    <x v="2"/>
    <s v="Natasha Murray"/>
    <s v="Pharmacy"/>
    <n v="12117"/>
    <n v="12.556476683937824"/>
    <m/>
    <m/>
  </r>
  <r>
    <x v="1"/>
    <s v="Company X"/>
    <s v="Capsule"/>
    <s v="50 mg"/>
    <s v="10 ml"/>
    <n v="254"/>
    <s v="$2928"/>
    <x v="11"/>
    <x v="4"/>
    <s v="David Lee"/>
    <s v="Pharmacy"/>
    <n v="2928"/>
    <n v="11.527559055118111"/>
    <m/>
    <m/>
  </r>
  <r>
    <x v="1"/>
    <s v="Company V"/>
    <s v="Injection"/>
    <s v="100 mg/ml"/>
    <n v="60"/>
    <n v="1006"/>
    <s v="$35619"/>
    <x v="99"/>
    <x v="0"/>
    <s v="Miss Debbie Willis"/>
    <s v="Pharmacy"/>
    <n v="35619"/>
    <n v="35.406560636182903"/>
    <m/>
    <m/>
  </r>
  <r>
    <x v="1"/>
    <s v="Company X"/>
    <s v="Tablet"/>
    <s v="250 mg"/>
    <s v="10 ml"/>
    <n v="578"/>
    <s v="$21030"/>
    <x v="309"/>
    <x v="4"/>
    <s v="Briana Henry"/>
    <s v="Clinics"/>
    <n v="21030"/>
    <n v="36.384083044982702"/>
    <m/>
    <m/>
  </r>
  <r>
    <x v="1"/>
    <s v="Company W"/>
    <s v="Capsule"/>
    <s v="100 mg/ml"/>
    <s v="100 ml"/>
    <n v="1284"/>
    <s v="$40997"/>
    <x v="73"/>
    <x v="4"/>
    <s v="Jennifer Marsh"/>
    <s v="Online Pharmacy"/>
    <n v="40997"/>
    <n v="31.929127725856699"/>
    <m/>
    <m/>
  </r>
  <r>
    <x v="2"/>
    <s v="Company V"/>
    <s v="Capsule"/>
    <s v="10 mg"/>
    <s v="100 ml"/>
    <n v="1832"/>
    <s v="$22662"/>
    <x v="187"/>
    <x v="1"/>
    <s v="Rachel Weaver"/>
    <s v="Supermarkets"/>
    <n v="22662"/>
    <n v="12.370087336244541"/>
    <m/>
    <m/>
  </r>
  <r>
    <x v="2"/>
    <s v="Company Z"/>
    <s v="Capsule"/>
    <s v="250 mg"/>
    <n v="60"/>
    <n v="698"/>
    <s v="$42700"/>
    <x v="131"/>
    <x v="3"/>
    <s v="Michael Hodges"/>
    <s v="Pharmacy"/>
    <n v="42700"/>
    <n v="61.174785100286535"/>
    <m/>
    <m/>
  </r>
  <r>
    <x v="4"/>
    <s v="Company W"/>
    <s v="Injection"/>
    <s v="50 mg"/>
    <s v="100 ml"/>
    <n v="174"/>
    <s v="$28115"/>
    <x v="272"/>
    <x v="1"/>
    <s v="James Taylor"/>
    <s v="Hospitals"/>
    <n v="28115"/>
    <n v="161.58045977011494"/>
    <m/>
    <m/>
  </r>
  <r>
    <x v="4"/>
    <s v="Company Z"/>
    <s v="Cream"/>
    <s v="250 mg"/>
    <s v="100 ml"/>
    <n v="247"/>
    <s v="$2564"/>
    <x v="322"/>
    <x v="4"/>
    <s v="Ms. Jamie Nunez DVM"/>
    <s v="Pharmacy"/>
    <n v="2564"/>
    <n v="10.380566801619434"/>
    <m/>
    <m/>
  </r>
  <r>
    <x v="0"/>
    <s v="Company V"/>
    <s v="Capsule"/>
    <s v="500 mg"/>
    <s v="10 ml"/>
    <n v="1585"/>
    <s v="$22796"/>
    <x v="219"/>
    <x v="3"/>
    <s v="Catherine Li"/>
    <s v="Pharmacy"/>
    <n v="22796"/>
    <n v="14.382334384858044"/>
    <m/>
    <m/>
  </r>
  <r>
    <x v="1"/>
    <s v="Company Y"/>
    <s v="Tablet"/>
    <s v="50 mg"/>
    <s v="50 g"/>
    <n v="1212"/>
    <s v="$30821"/>
    <x v="323"/>
    <x v="0"/>
    <s v="Lauren Taylor"/>
    <s v="Supermarkets"/>
    <n v="30821"/>
    <n v="25.42986798679868"/>
    <m/>
    <m/>
  </r>
  <r>
    <x v="1"/>
    <s v="Company Y"/>
    <s v="Syrup"/>
    <s v="100 mg/ml"/>
    <s v="100 ml"/>
    <n v="1322"/>
    <s v="$41761"/>
    <x v="290"/>
    <x v="0"/>
    <s v="Daniel Moore"/>
    <s v="Pharmacy"/>
    <n v="41761"/>
    <n v="31.589258698940998"/>
    <m/>
    <m/>
  </r>
  <r>
    <x v="4"/>
    <s v="Company X"/>
    <s v="Cream"/>
    <s v="50 mg"/>
    <n v="60"/>
    <n v="1258"/>
    <s v="$22547"/>
    <x v="131"/>
    <x v="3"/>
    <s v="Joseph Blair"/>
    <s v="Hospitals"/>
    <n v="22547"/>
    <n v="17.922893481717011"/>
    <m/>
    <m/>
  </r>
  <r>
    <x v="1"/>
    <s v="Company V"/>
    <s v="Cream"/>
    <s v="50 mg"/>
    <s v="10 ml"/>
    <n v="1589"/>
    <s v="$28938"/>
    <x v="236"/>
    <x v="0"/>
    <s v="William Foley"/>
    <s v="Hospitals"/>
    <n v="28938"/>
    <n v="18.211453744493394"/>
    <m/>
    <m/>
  </r>
  <r>
    <x v="0"/>
    <s v="Company V"/>
    <s v="Tablet"/>
    <s v="500 mg"/>
    <s v="10 ml"/>
    <n v="908"/>
    <s v="$44347"/>
    <x v="236"/>
    <x v="2"/>
    <s v="Alexis Davis"/>
    <s v="Hospitals"/>
    <n v="44347"/>
    <n v="48.840308370044056"/>
    <m/>
    <m/>
  </r>
  <r>
    <x v="1"/>
    <s v="Company Y"/>
    <s v="Injection"/>
    <s v="100 mg/ml"/>
    <n v="60"/>
    <n v="888"/>
    <s v="$22714"/>
    <x v="33"/>
    <x v="2"/>
    <s v="Nathan Contreras"/>
    <s v="Pharmacy"/>
    <n v="22714"/>
    <n v="25.578828828828829"/>
    <m/>
    <m/>
  </r>
  <r>
    <x v="0"/>
    <s v="Company Y"/>
    <s v="Cream"/>
    <s v="250 mg"/>
    <n v="60"/>
    <n v="1591"/>
    <s v="$6484"/>
    <x v="181"/>
    <x v="2"/>
    <s v="Wendy Finley"/>
    <s v="Clinics"/>
    <n v="6484"/>
    <n v="4.075424261470773"/>
    <m/>
    <m/>
  </r>
  <r>
    <x v="0"/>
    <s v="Company Y"/>
    <s v="Syrup"/>
    <s v="50 mg"/>
    <s v="50 g"/>
    <n v="1266"/>
    <s v="$27371"/>
    <x v="5"/>
    <x v="4"/>
    <s v="Vanessa Wood"/>
    <s v="Clinics"/>
    <n v="27371"/>
    <n v="21.620063191153239"/>
    <m/>
    <m/>
  </r>
  <r>
    <x v="2"/>
    <s v="Company V"/>
    <s v="Capsule"/>
    <s v="10 mg"/>
    <n v="30"/>
    <n v="1335"/>
    <s v="$1534"/>
    <x v="300"/>
    <x v="3"/>
    <s v="Laurie Gonzalez"/>
    <s v="Pharmacy"/>
    <n v="1534"/>
    <n v="1.149063670411985"/>
    <m/>
    <m/>
  </r>
  <r>
    <x v="4"/>
    <s v="Company Y"/>
    <s v="Tablet"/>
    <s v="10 mg"/>
    <n v="30"/>
    <n v="790"/>
    <s v="$9353"/>
    <x v="298"/>
    <x v="3"/>
    <s v="Natalie Evans"/>
    <s v="Clinics"/>
    <n v="9353"/>
    <n v="11.839240506329114"/>
    <m/>
    <m/>
  </r>
  <r>
    <x v="2"/>
    <s v="Company W"/>
    <s v="Tablet"/>
    <s v="100 mg/ml"/>
    <s v="10 ml"/>
    <n v="408"/>
    <s v="$31302"/>
    <x v="324"/>
    <x v="0"/>
    <s v="Marissa Adams"/>
    <s v="Clinics"/>
    <n v="31302"/>
    <n v="76.720588235294116"/>
    <m/>
    <m/>
  </r>
  <r>
    <x v="3"/>
    <s v="Company W"/>
    <s v="Injection"/>
    <s v="250 mg"/>
    <s v="50 g"/>
    <n v="1613"/>
    <s v="$49778"/>
    <x v="236"/>
    <x v="0"/>
    <s v="Michael Mosley"/>
    <s v="Clinics"/>
    <n v="49778"/>
    <n v="30.860508369497829"/>
    <m/>
    <m/>
  </r>
  <r>
    <x v="0"/>
    <s v="Company V"/>
    <s v="Capsule"/>
    <s v="500 mg"/>
    <s v="50 g"/>
    <n v="1046"/>
    <s v="$41599"/>
    <x v="325"/>
    <x v="0"/>
    <s v="Michael Knight"/>
    <s v="Online Pharmacy"/>
    <n v="41599"/>
    <n v="39.769598470363292"/>
    <m/>
    <m/>
  </r>
  <r>
    <x v="3"/>
    <s v="Company W"/>
    <s v="Syrup"/>
    <s v="250 mg"/>
    <n v="60"/>
    <n v="769"/>
    <s v="$38634"/>
    <x v="141"/>
    <x v="2"/>
    <s v="Ashley Johnson"/>
    <s v="Clinics"/>
    <n v="38634"/>
    <n v="50.239271781534462"/>
    <m/>
    <m/>
  </r>
  <r>
    <x v="4"/>
    <s v="Company Y"/>
    <s v="Tablet"/>
    <s v="250 mg"/>
    <n v="30"/>
    <n v="1661"/>
    <s v="$40534"/>
    <x v="57"/>
    <x v="3"/>
    <s v="Christopher Clayton"/>
    <s v="Hospitals"/>
    <n v="40534"/>
    <n v="24.403371462974111"/>
    <m/>
    <m/>
  </r>
  <r>
    <x v="4"/>
    <s v="Company Z"/>
    <s v="Injection"/>
    <s v="50 mg"/>
    <s v="100 ml"/>
    <n v="1541"/>
    <s v="$36377"/>
    <x v="326"/>
    <x v="0"/>
    <s v="Tara Harris"/>
    <s v="Online Pharmacy"/>
    <n v="36377"/>
    <n v="23.606099935107075"/>
    <m/>
    <m/>
  </r>
  <r>
    <x v="2"/>
    <s v="Company Z"/>
    <s v="Injection"/>
    <s v="250 mg"/>
    <s v="50 g"/>
    <n v="286"/>
    <s v="$30863"/>
    <x v="186"/>
    <x v="3"/>
    <s v="Roberto Bryant"/>
    <s v="Online Pharmacy"/>
    <n v="30863"/>
    <n v="107.91258741258741"/>
    <m/>
    <m/>
  </r>
  <r>
    <x v="2"/>
    <s v="Company X"/>
    <s v="Cream"/>
    <s v="100 mg/ml"/>
    <s v="100 ml"/>
    <n v="1432"/>
    <s v="$43247"/>
    <x v="318"/>
    <x v="1"/>
    <s v="Janet Fritz"/>
    <s v="Supermarkets"/>
    <n v="43247"/>
    <n v="30.200418994413408"/>
    <m/>
    <m/>
  </r>
  <r>
    <x v="1"/>
    <s v="Company V"/>
    <s v="Tablet"/>
    <s v="500 mg"/>
    <s v="50 g"/>
    <n v="249"/>
    <s v="$21795"/>
    <x v="327"/>
    <x v="2"/>
    <s v="Elizabeth Melendez"/>
    <s v="Hospitals"/>
    <n v="21795"/>
    <n v="87.53012048192771"/>
    <m/>
    <m/>
  </r>
  <r>
    <x v="0"/>
    <s v="Company W"/>
    <s v="Cream"/>
    <s v="10 mg"/>
    <n v="30"/>
    <n v="1441"/>
    <s v="$15841"/>
    <x v="328"/>
    <x v="1"/>
    <s v="William Baker"/>
    <s v="Supermarkets"/>
    <n v="15841"/>
    <n v="10.993060374739764"/>
    <m/>
    <m/>
  </r>
  <r>
    <x v="0"/>
    <s v="Company X"/>
    <s v="Syrup"/>
    <s v="500 mg"/>
    <n v="30"/>
    <n v="1951"/>
    <s v="$18265"/>
    <x v="279"/>
    <x v="1"/>
    <s v="Eugene Mccarthy MD"/>
    <s v="Hospitals"/>
    <n v="18265"/>
    <n v="9.3618657098923634"/>
    <m/>
    <m/>
  </r>
  <r>
    <x v="0"/>
    <s v="Company Y"/>
    <s v="Cream"/>
    <s v="500 mg"/>
    <s v="100 ml"/>
    <n v="1017"/>
    <s v="$10342"/>
    <x v="97"/>
    <x v="4"/>
    <s v="Richard Day"/>
    <s v="Hospitals"/>
    <n v="10342"/>
    <n v="10.169124877089478"/>
    <m/>
    <m/>
  </r>
  <r>
    <x v="3"/>
    <s v="Company W"/>
    <s v="Syrup"/>
    <s v="250 mg"/>
    <n v="60"/>
    <n v="1287"/>
    <s v="$45058"/>
    <x v="58"/>
    <x v="4"/>
    <s v="Michael Freeman"/>
    <s v="Supermarkets"/>
    <n v="45058"/>
    <n v="35.01010101010101"/>
    <m/>
    <m/>
  </r>
  <r>
    <x v="0"/>
    <s v="Company Z"/>
    <s v="Tablet"/>
    <s v="10 mg"/>
    <s v="100 ml"/>
    <n v="1236"/>
    <s v="$48538"/>
    <x v="97"/>
    <x v="0"/>
    <s v="Dale Wright"/>
    <s v="Supermarkets"/>
    <n v="48538"/>
    <n v="39.270226537216828"/>
    <m/>
    <m/>
  </r>
  <r>
    <x v="1"/>
    <s v="Company Y"/>
    <s v="Capsule"/>
    <s v="10 mg"/>
    <s v="10 ml"/>
    <n v="1368"/>
    <s v="$6205"/>
    <x v="329"/>
    <x v="4"/>
    <s v="Stephanie Gutierrez"/>
    <s v="Online Pharmacy"/>
    <n v="6205"/>
    <n v="4.5358187134502925"/>
    <m/>
    <m/>
  </r>
  <r>
    <x v="3"/>
    <s v="Company V"/>
    <s v="Capsule"/>
    <s v="100 mg/ml"/>
    <s v="100 ml"/>
    <n v="936"/>
    <s v="$10109"/>
    <x v="227"/>
    <x v="2"/>
    <s v="Vincent Espinoza"/>
    <s v="Pharmacy"/>
    <n v="10109"/>
    <n v="10.800213675213675"/>
    <m/>
    <m/>
  </r>
  <r>
    <x v="2"/>
    <s v="Company V"/>
    <s v="Injection"/>
    <s v="500 mg"/>
    <n v="60"/>
    <n v="676"/>
    <s v="$37726"/>
    <x v="98"/>
    <x v="2"/>
    <s v="Allen Cortez"/>
    <s v="Clinics"/>
    <n v="37726"/>
    <n v="55.807692307692307"/>
    <m/>
    <m/>
  </r>
  <r>
    <x v="1"/>
    <s v="Company Y"/>
    <s v="Injection"/>
    <s v="100 mg/ml"/>
    <n v="30"/>
    <n v="338"/>
    <s v="$11276"/>
    <x v="272"/>
    <x v="1"/>
    <s v="Thomas Camacho"/>
    <s v="Supermarkets"/>
    <n v="11276"/>
    <n v="33.360946745562131"/>
    <m/>
    <m/>
  </r>
  <r>
    <x v="3"/>
    <s v="Company W"/>
    <s v="Capsule"/>
    <s v="500 mg"/>
    <s v="50 g"/>
    <n v="1131"/>
    <s v="$33794"/>
    <x v="149"/>
    <x v="2"/>
    <s v="James Ryan"/>
    <s v="Supermarkets"/>
    <n v="33794"/>
    <n v="29.879752431476568"/>
    <m/>
    <m/>
  </r>
  <r>
    <x v="0"/>
    <s v="Company V"/>
    <s v="Cream"/>
    <s v="10 mg"/>
    <s v="100 ml"/>
    <n v="1415"/>
    <s v="$40903"/>
    <x v="73"/>
    <x v="0"/>
    <s v="Javier Gonzales DDS"/>
    <s v="Pharmacy"/>
    <n v="40903"/>
    <n v="28.906713780918729"/>
    <m/>
    <m/>
  </r>
  <r>
    <x v="2"/>
    <s v="Company Y"/>
    <s v="Capsule"/>
    <s v="250 mg"/>
    <s v="50 g"/>
    <n v="1737"/>
    <s v="$27260"/>
    <x v="185"/>
    <x v="4"/>
    <s v="Jessica Turner"/>
    <s v="Hospitals"/>
    <n v="27260"/>
    <n v="15.693724812895798"/>
    <m/>
    <m/>
  </r>
  <r>
    <x v="1"/>
    <s v="Company X"/>
    <s v="Syrup"/>
    <s v="50 mg"/>
    <s v="100 ml"/>
    <n v="689"/>
    <s v="$19199"/>
    <x v="102"/>
    <x v="1"/>
    <s v="James Sanchez"/>
    <s v="Supermarkets"/>
    <n v="19199"/>
    <n v="27.865021770682148"/>
    <m/>
    <m/>
  </r>
  <r>
    <x v="4"/>
    <s v="Company W"/>
    <s v="Tablet"/>
    <s v="250 mg"/>
    <n v="30"/>
    <n v="961"/>
    <s v="$17111"/>
    <x v="228"/>
    <x v="3"/>
    <s v="Christy Morgan"/>
    <s v="Clinics"/>
    <n v="17111"/>
    <n v="17.805411030176899"/>
    <m/>
    <m/>
  </r>
  <r>
    <x v="1"/>
    <s v="Company W"/>
    <s v="Tablet"/>
    <s v="250 mg"/>
    <s v="100 ml"/>
    <n v="523"/>
    <s v="$39012"/>
    <x v="286"/>
    <x v="1"/>
    <s v="Lauren Gutierrez"/>
    <s v="Online Pharmacy"/>
    <n v="39012"/>
    <n v="74.592734225621413"/>
    <m/>
    <m/>
  </r>
  <r>
    <x v="2"/>
    <s v="Company W"/>
    <s v="Cream"/>
    <s v="100 mg/ml"/>
    <s v="100 ml"/>
    <n v="124"/>
    <s v="$17741"/>
    <x v="132"/>
    <x v="4"/>
    <s v="Jerry Fry"/>
    <s v="Hospitals"/>
    <n v="17741"/>
    <n v="143.07258064516128"/>
    <m/>
    <m/>
  </r>
  <r>
    <x v="0"/>
    <s v="Company Z"/>
    <s v="Injection"/>
    <s v="50 mg"/>
    <s v="100 ml"/>
    <n v="1579"/>
    <s v="$29112"/>
    <x v="134"/>
    <x v="2"/>
    <s v="Lisa Powell"/>
    <s v="Online Pharmacy"/>
    <n v="29112"/>
    <n v="18.436985433818872"/>
    <m/>
    <m/>
  </r>
  <r>
    <x v="4"/>
    <s v="Company V"/>
    <s v="Injection"/>
    <s v="10 mg"/>
    <n v="30"/>
    <n v="465"/>
    <s v="$47839"/>
    <x v="113"/>
    <x v="3"/>
    <s v="Gregory Wright"/>
    <s v="Pharmacy"/>
    <n v="47839"/>
    <n v="102.87956989247311"/>
    <m/>
    <m/>
  </r>
  <r>
    <x v="0"/>
    <s v="Company V"/>
    <s v="Tablet"/>
    <s v="500 mg"/>
    <s v="50 g"/>
    <n v="106"/>
    <s v="$16139"/>
    <x v="322"/>
    <x v="3"/>
    <s v="Kenneth Torres"/>
    <s v="Clinics"/>
    <n v="16139"/>
    <n v="152.25471698113208"/>
    <m/>
    <m/>
  </r>
  <r>
    <x v="4"/>
    <s v="Company W"/>
    <s v="Cream"/>
    <s v="10 mg"/>
    <s v="100 ml"/>
    <n v="129"/>
    <s v="$33103"/>
    <x v="294"/>
    <x v="2"/>
    <s v="Kathy Garza"/>
    <s v="Pharmacy"/>
    <n v="33103"/>
    <n v="256.61240310077517"/>
    <m/>
    <m/>
  </r>
  <r>
    <x v="2"/>
    <s v="Company V"/>
    <s v="Injection"/>
    <s v="100 mg/ml"/>
    <n v="30"/>
    <n v="179"/>
    <s v="$44121"/>
    <x v="330"/>
    <x v="2"/>
    <s v="Ryan Taylor"/>
    <s v="Hospitals"/>
    <n v="44121"/>
    <n v="246.48603351955308"/>
    <m/>
    <m/>
  </r>
  <r>
    <x v="3"/>
    <s v="Company X"/>
    <s v="Capsule"/>
    <s v="500 mg"/>
    <n v="30"/>
    <n v="509"/>
    <s v="$10346"/>
    <x v="329"/>
    <x v="1"/>
    <s v="Brenda Martin"/>
    <s v="Pharmacy"/>
    <n v="10346"/>
    <n v="20.326129666011788"/>
    <m/>
    <m/>
  </r>
  <r>
    <x v="3"/>
    <s v="Company Y"/>
    <s v="Injection"/>
    <s v="10 mg"/>
    <n v="60"/>
    <n v="1543"/>
    <s v="$28043"/>
    <x v="88"/>
    <x v="0"/>
    <s v="Robert Petersen"/>
    <s v="Supermarkets"/>
    <n v="28043"/>
    <n v="18.174335709656514"/>
    <m/>
    <m/>
  </r>
  <r>
    <x v="2"/>
    <s v="Company V"/>
    <s v="Cream"/>
    <s v="250 mg"/>
    <s v="100 ml"/>
    <n v="517"/>
    <s v="$39197"/>
    <x v="331"/>
    <x v="0"/>
    <s v="Gary Moon"/>
    <s v="Hospitals"/>
    <n v="39197"/>
    <n v="75.816247582205023"/>
    <m/>
    <m/>
  </r>
  <r>
    <x v="1"/>
    <s v="Company X"/>
    <s v="Syrup"/>
    <s v="50 mg"/>
    <n v="60"/>
    <n v="938"/>
    <s v="$27950"/>
    <x v="115"/>
    <x v="2"/>
    <s v="Patricia Cowan"/>
    <s v="Clinics"/>
    <n v="27950"/>
    <n v="29.797441364605543"/>
    <m/>
    <m/>
  </r>
  <r>
    <x v="0"/>
    <s v="Company Z"/>
    <s v="Tablet"/>
    <s v="50 mg"/>
    <n v="60"/>
    <n v="1468"/>
    <s v="$33405"/>
    <x v="150"/>
    <x v="3"/>
    <s v="Tina Hernandez"/>
    <s v="Pharmacy"/>
    <n v="33405"/>
    <n v="22.755449591280655"/>
    <m/>
    <m/>
  </r>
  <r>
    <x v="1"/>
    <s v="Company Z"/>
    <s v="Tablet"/>
    <s v="100 mg/ml"/>
    <s v="100 ml"/>
    <n v="1397"/>
    <s v="$14728"/>
    <x v="182"/>
    <x v="1"/>
    <s v="Nathaniel Weiss"/>
    <s v="Online Pharmacy"/>
    <n v="14728"/>
    <n v="10.542591267000716"/>
    <m/>
    <m/>
  </r>
  <r>
    <x v="4"/>
    <s v="Company W"/>
    <s v="Cream"/>
    <s v="250 mg"/>
    <s v="10 ml"/>
    <n v="230"/>
    <s v="$44042"/>
    <x v="228"/>
    <x v="4"/>
    <s v="Timothy Frank"/>
    <s v="Online Pharmacy"/>
    <n v="44042"/>
    <n v="191.48695652173913"/>
    <m/>
    <m/>
  </r>
  <r>
    <x v="4"/>
    <s v="Company W"/>
    <s v="Tablet"/>
    <s v="100 mg/ml"/>
    <n v="60"/>
    <n v="498"/>
    <s v="$26954"/>
    <x v="84"/>
    <x v="4"/>
    <s v="William Allen"/>
    <s v="Online Pharmacy"/>
    <n v="26954"/>
    <n v="54.124497991967871"/>
    <m/>
    <m/>
  </r>
  <r>
    <x v="2"/>
    <s v="Company Z"/>
    <s v="Cream"/>
    <s v="50 mg"/>
    <s v="100 ml"/>
    <n v="1501"/>
    <s v="$49128"/>
    <x v="274"/>
    <x v="0"/>
    <s v="Corey Walsh"/>
    <s v="Supermarkets"/>
    <n v="49128"/>
    <n v="32.730179880079945"/>
    <m/>
    <m/>
  </r>
  <r>
    <x v="0"/>
    <s v="Company X"/>
    <s v="Syrup"/>
    <s v="50 mg"/>
    <n v="30"/>
    <n v="190"/>
    <s v="$40850"/>
    <x v="110"/>
    <x v="2"/>
    <s v="April Parker"/>
    <s v="Supermarkets"/>
    <n v="40850"/>
    <n v="215"/>
    <m/>
    <m/>
  </r>
  <r>
    <x v="1"/>
    <s v="Company Y"/>
    <s v="Injection"/>
    <s v="10 mg"/>
    <n v="30"/>
    <n v="1984"/>
    <s v="$49839"/>
    <x v="13"/>
    <x v="3"/>
    <s v="Sean Duncan"/>
    <s v="Clinics"/>
    <n v="49839"/>
    <n v="25.12046370967742"/>
    <m/>
    <m/>
  </r>
  <r>
    <x v="4"/>
    <s v="Company Y"/>
    <s v="Capsule"/>
    <s v="500 mg"/>
    <s v="50 g"/>
    <n v="1919"/>
    <s v="$29695"/>
    <x v="237"/>
    <x v="0"/>
    <s v="Brenda Bauer"/>
    <s v="Online Pharmacy"/>
    <n v="29695"/>
    <n v="15.474205315268369"/>
    <m/>
    <m/>
  </r>
  <r>
    <x v="0"/>
    <s v="Company Z"/>
    <s v="Capsule"/>
    <s v="500 mg"/>
    <s v="10 ml"/>
    <n v="655"/>
    <s v="$8141"/>
    <x v="2"/>
    <x v="2"/>
    <s v="Austin Wright"/>
    <s v="Pharmacy"/>
    <n v="8141"/>
    <n v="12.429007633587787"/>
    <m/>
    <m/>
  </r>
  <r>
    <x v="4"/>
    <s v="Company W"/>
    <s v="Cream"/>
    <s v="100 mg/ml"/>
    <n v="30"/>
    <n v="935"/>
    <s v="$46285"/>
    <x v="41"/>
    <x v="2"/>
    <s v="Amy Mitchell"/>
    <s v="Supermarkets"/>
    <n v="46285"/>
    <n v="49.502673796791441"/>
    <m/>
    <m/>
  </r>
  <r>
    <x v="1"/>
    <s v="Company W"/>
    <s v="Cream"/>
    <s v="50 mg"/>
    <n v="30"/>
    <n v="1565"/>
    <s v="$13345"/>
    <x v="139"/>
    <x v="1"/>
    <s v="Michael Sanchez"/>
    <s v="Online Pharmacy"/>
    <n v="13345"/>
    <n v="8.5271565495207664"/>
    <m/>
    <m/>
  </r>
  <r>
    <x v="0"/>
    <s v="Company Y"/>
    <s v="Tablet"/>
    <s v="100 mg/ml"/>
    <s v="50 g"/>
    <n v="769"/>
    <s v="$24713"/>
    <x v="84"/>
    <x v="3"/>
    <s v="Mrs. Hayley Hunter MD"/>
    <s v="Supermarkets"/>
    <n v="24713"/>
    <n v="32.136540962288684"/>
    <m/>
    <m/>
  </r>
  <r>
    <x v="1"/>
    <s v="Company V"/>
    <s v="Capsule"/>
    <s v="250 mg"/>
    <s v="10 ml"/>
    <n v="1624"/>
    <s v="$13764"/>
    <x v="181"/>
    <x v="1"/>
    <s v="Sandra Davis"/>
    <s v="Supermarkets"/>
    <n v="13764"/>
    <n v="8.4753694581280783"/>
    <m/>
    <m/>
  </r>
  <r>
    <x v="3"/>
    <s v="Company W"/>
    <s v="Syrup"/>
    <s v="50 mg"/>
    <n v="60"/>
    <n v="676"/>
    <s v="$35872"/>
    <x v="306"/>
    <x v="3"/>
    <s v="Joyce Travis"/>
    <s v="Online Pharmacy"/>
    <n v="35872"/>
    <n v="53.065088757396452"/>
    <m/>
    <m/>
  </r>
  <r>
    <x v="3"/>
    <s v="Company Y"/>
    <s v="Syrup"/>
    <s v="50 mg"/>
    <s v="50 g"/>
    <n v="906"/>
    <s v="$12431"/>
    <x v="216"/>
    <x v="4"/>
    <s v="Susan Ali"/>
    <s v="Clinics"/>
    <n v="12431"/>
    <n v="13.72075055187638"/>
    <m/>
    <m/>
  </r>
  <r>
    <x v="3"/>
    <s v="Company Y"/>
    <s v="Cream"/>
    <s v="50 mg"/>
    <s v="10 ml"/>
    <n v="1870"/>
    <s v="$4688"/>
    <x v="20"/>
    <x v="0"/>
    <s v="Lori Bass"/>
    <s v="Pharmacy"/>
    <n v="4688"/>
    <n v="2.5069518716577539"/>
    <m/>
    <m/>
  </r>
  <r>
    <x v="3"/>
    <s v="Company W"/>
    <s v="Capsule"/>
    <s v="100 mg/ml"/>
    <s v="50 g"/>
    <n v="1810"/>
    <s v="$27443"/>
    <x v="4"/>
    <x v="3"/>
    <s v="Michael Gray"/>
    <s v="Pharmacy"/>
    <n v="27443"/>
    <n v="15.161878453038675"/>
    <m/>
    <m/>
  </r>
  <r>
    <x v="0"/>
    <s v="Company X"/>
    <s v="Capsule"/>
    <s v="10 mg"/>
    <n v="60"/>
    <n v="427"/>
    <s v="$8379"/>
    <x v="32"/>
    <x v="4"/>
    <s v="Dr. Abigail Jackson"/>
    <s v="Clinics"/>
    <n v="8379"/>
    <n v="19.622950819672131"/>
    <m/>
    <m/>
  </r>
  <r>
    <x v="4"/>
    <s v="Company X"/>
    <s v="Injection"/>
    <s v="50 mg"/>
    <s v="100 ml"/>
    <n v="1340"/>
    <s v="$32355"/>
    <x v="77"/>
    <x v="4"/>
    <s v="Rebecca Harrison"/>
    <s v="Pharmacy"/>
    <n v="32355"/>
    <n v="24.145522388059703"/>
    <m/>
    <m/>
  </r>
  <r>
    <x v="2"/>
    <s v="Company V"/>
    <s v="Cream"/>
    <s v="50 mg"/>
    <n v="60"/>
    <n v="1084"/>
    <s v="$40033"/>
    <x v="120"/>
    <x v="4"/>
    <s v="Stacey Collins"/>
    <s v="Clinics"/>
    <n v="40033"/>
    <n v="36.930811808118079"/>
    <m/>
    <m/>
  </r>
  <r>
    <x v="2"/>
    <s v="Company W"/>
    <s v="Capsule"/>
    <s v="500 mg"/>
    <n v="60"/>
    <n v="1441"/>
    <s v="$5001"/>
    <x v="332"/>
    <x v="1"/>
    <s v="Mr. Jacob Stokes DDS"/>
    <s v="Online Pharmacy"/>
    <n v="5001"/>
    <n v="3.4705065926439973"/>
    <m/>
    <m/>
  </r>
  <r>
    <x v="1"/>
    <s v="Company X"/>
    <s v="Cream"/>
    <s v="500 mg"/>
    <s v="100 ml"/>
    <n v="1440"/>
    <s v="$35398"/>
    <x v="100"/>
    <x v="0"/>
    <s v="Lindsay Hall"/>
    <s v="Pharmacy"/>
    <n v="35398"/>
    <n v="24.581944444444446"/>
    <m/>
    <m/>
  </r>
  <r>
    <x v="3"/>
    <s v="Company Z"/>
    <s v="Syrup"/>
    <s v="100 mg/ml"/>
    <s v="100 ml"/>
    <n v="891"/>
    <s v="$27927"/>
    <x v="29"/>
    <x v="4"/>
    <s v="Mary Steele"/>
    <s v="Clinics"/>
    <n v="27927"/>
    <n v="31.343434343434343"/>
    <m/>
    <m/>
  </r>
  <r>
    <x v="3"/>
    <s v="Company X"/>
    <s v="Cream"/>
    <s v="100 mg/ml"/>
    <n v="30"/>
    <n v="1718"/>
    <s v="$27940"/>
    <x v="38"/>
    <x v="1"/>
    <s v="Scott Bowers"/>
    <s v="Clinics"/>
    <n v="27940"/>
    <n v="16.263096623981372"/>
    <m/>
    <m/>
  </r>
  <r>
    <x v="4"/>
    <s v="Company X"/>
    <s v="Cream"/>
    <s v="50 mg"/>
    <s v="50 g"/>
    <n v="1367"/>
    <s v="$45734"/>
    <x v="333"/>
    <x v="0"/>
    <s v="Gabriella West"/>
    <s v="Pharmacy"/>
    <n v="45734"/>
    <n v="33.455742501828823"/>
    <m/>
    <m/>
  </r>
  <r>
    <x v="3"/>
    <s v="Company Y"/>
    <s v="Injection"/>
    <s v="100 mg/ml"/>
    <s v="100 ml"/>
    <n v="1899"/>
    <s v="$19924"/>
    <x v="86"/>
    <x v="2"/>
    <s v="Allison Barker"/>
    <s v="Clinics"/>
    <n v="19924"/>
    <n v="10.491837809373354"/>
    <m/>
    <m/>
  </r>
  <r>
    <x v="1"/>
    <s v="Company Y"/>
    <s v="Tablet"/>
    <s v="500 mg"/>
    <s v="100 ml"/>
    <n v="824"/>
    <s v="$49294"/>
    <x v="62"/>
    <x v="4"/>
    <s v="Jeffery Tran"/>
    <s v="Clinics"/>
    <n v="49294"/>
    <n v="59.822815533980581"/>
    <m/>
    <m/>
  </r>
  <r>
    <x v="3"/>
    <s v="Company W"/>
    <s v="Cream"/>
    <s v="250 mg"/>
    <s v="100 ml"/>
    <n v="1964"/>
    <s v="$33741"/>
    <x v="334"/>
    <x v="4"/>
    <s v="Christopher Jones"/>
    <s v="Online Pharmacy"/>
    <n v="33741"/>
    <n v="17.179735234215887"/>
    <m/>
    <m/>
  </r>
  <r>
    <x v="0"/>
    <s v="Company W"/>
    <s v="Tablet"/>
    <s v="50 mg"/>
    <s v="50 g"/>
    <n v="1091"/>
    <s v="$46316"/>
    <x v="161"/>
    <x v="2"/>
    <s v="Annette Snyder"/>
    <s v="Clinics"/>
    <n v="46316"/>
    <n v="42.452795600366635"/>
    <m/>
    <m/>
  </r>
  <r>
    <x v="3"/>
    <s v="Company Z"/>
    <s v="Tablet"/>
    <s v="100 mg/ml"/>
    <s v="10 ml"/>
    <n v="247"/>
    <s v="$35441"/>
    <x v="87"/>
    <x v="0"/>
    <s v="Erika Reed"/>
    <s v="Online Pharmacy"/>
    <n v="35441"/>
    <n v="143.48582995951418"/>
    <m/>
    <m/>
  </r>
  <r>
    <x v="4"/>
    <s v="Company V"/>
    <s v="Capsule"/>
    <s v="100 mg/ml"/>
    <n v="60"/>
    <n v="1598"/>
    <s v="$4074"/>
    <x v="136"/>
    <x v="3"/>
    <s v="Daniel Lee"/>
    <s v="Hospitals"/>
    <n v="4074"/>
    <n v="2.549436795994994"/>
    <m/>
    <m/>
  </r>
  <r>
    <x v="3"/>
    <s v="Company X"/>
    <s v="Capsule"/>
    <s v="50 mg"/>
    <s v="50 g"/>
    <n v="679"/>
    <s v="$22164"/>
    <x v="49"/>
    <x v="1"/>
    <s v="Nicholas Carey"/>
    <s v="Pharmacy"/>
    <n v="22164"/>
    <n v="32.642120765832104"/>
    <m/>
    <m/>
  </r>
  <r>
    <x v="1"/>
    <s v="Company V"/>
    <s v="Injection"/>
    <s v="250 mg"/>
    <n v="30"/>
    <n v="1521"/>
    <s v="$35865"/>
    <x v="106"/>
    <x v="3"/>
    <s v="Teresa Lewis"/>
    <s v="Clinics"/>
    <n v="35865"/>
    <n v="23.579881656804734"/>
    <m/>
    <m/>
  </r>
  <r>
    <x v="2"/>
    <s v="Company W"/>
    <s v="Tablet"/>
    <s v="250 mg"/>
    <n v="60"/>
    <n v="347"/>
    <s v="$25965"/>
    <x v="145"/>
    <x v="1"/>
    <s v="Alyssa Craig"/>
    <s v="Clinics"/>
    <n v="25965"/>
    <n v="74.827089337175792"/>
    <m/>
    <m/>
  </r>
  <r>
    <x v="3"/>
    <s v="Company Y"/>
    <s v="Injection"/>
    <s v="10 mg"/>
    <s v="100 ml"/>
    <n v="740"/>
    <s v="$37678"/>
    <x v="282"/>
    <x v="2"/>
    <s v="Chris Wise"/>
    <s v="Clinics"/>
    <n v="37678"/>
    <n v="50.916216216216213"/>
    <m/>
    <m/>
  </r>
  <r>
    <x v="0"/>
    <s v="Company V"/>
    <s v="Tablet"/>
    <s v="100 mg/ml"/>
    <n v="60"/>
    <n v="872"/>
    <s v="$10189"/>
    <x v="105"/>
    <x v="2"/>
    <s v="Keith Burton"/>
    <s v="Online Pharmacy"/>
    <n v="10189"/>
    <n v="11.684633027522937"/>
    <m/>
    <m/>
  </r>
  <r>
    <x v="1"/>
    <s v="Company Y"/>
    <s v="Cream"/>
    <s v="10 mg"/>
    <s v="10 ml"/>
    <n v="449"/>
    <s v="$18843"/>
    <x v="304"/>
    <x v="0"/>
    <s v="Susan Ellison"/>
    <s v="Pharmacy"/>
    <n v="18843"/>
    <n v="41.966592427616924"/>
    <m/>
    <m/>
  </r>
  <r>
    <x v="0"/>
    <s v="Company Z"/>
    <s v="Syrup"/>
    <s v="500 mg"/>
    <s v="100 ml"/>
    <n v="1835"/>
    <s v="$37032"/>
    <x v="176"/>
    <x v="0"/>
    <s v="Margaret Duncan"/>
    <s v="Clinics"/>
    <n v="37032"/>
    <n v="20.180926430517712"/>
    <m/>
    <m/>
  </r>
  <r>
    <x v="0"/>
    <s v="Company Y"/>
    <s v="Cream"/>
    <s v="10 mg"/>
    <n v="30"/>
    <n v="413"/>
    <s v="$38333"/>
    <x v="173"/>
    <x v="3"/>
    <s v="Jennifer Nelson"/>
    <s v="Clinics"/>
    <n v="38333"/>
    <n v="92.815980629539951"/>
    <m/>
    <m/>
  </r>
  <r>
    <x v="4"/>
    <s v="Company V"/>
    <s v="Syrup"/>
    <s v="500 mg"/>
    <n v="30"/>
    <n v="913"/>
    <s v="$42870"/>
    <x v="86"/>
    <x v="4"/>
    <s v="Donna Peters"/>
    <s v="Clinics"/>
    <n v="42870"/>
    <n v="46.955093099671416"/>
    <m/>
    <m/>
  </r>
  <r>
    <x v="2"/>
    <s v="Company Z"/>
    <s v="Cream"/>
    <s v="250 mg"/>
    <s v="100 ml"/>
    <n v="1075"/>
    <s v="$45857"/>
    <x v="316"/>
    <x v="2"/>
    <s v="Michael Palmer"/>
    <s v="Supermarkets"/>
    <n v="45857"/>
    <n v="42.65767441860465"/>
    <m/>
    <m/>
  </r>
  <r>
    <x v="4"/>
    <s v="Company X"/>
    <s v="Syrup"/>
    <s v="10 mg"/>
    <n v="30"/>
    <n v="1600"/>
    <s v="$21517"/>
    <x v="303"/>
    <x v="0"/>
    <s v="Daniel Collins"/>
    <s v="Hospitals"/>
    <n v="21517"/>
    <n v="13.448124999999999"/>
    <m/>
    <m/>
  </r>
  <r>
    <x v="0"/>
    <s v="Company W"/>
    <s v="Injection"/>
    <s v="250 mg"/>
    <s v="10 ml"/>
    <n v="576"/>
    <s v="$40961"/>
    <x v="120"/>
    <x v="2"/>
    <s v="Ms. Alexis Robertson"/>
    <s v="Supermarkets"/>
    <n v="40961"/>
    <n v="71.112847222222229"/>
    <m/>
    <m/>
  </r>
  <r>
    <x v="3"/>
    <s v="Company V"/>
    <s v="Syrup"/>
    <s v="100 mg/ml"/>
    <n v="30"/>
    <n v="1265"/>
    <s v="$32484"/>
    <x v="138"/>
    <x v="1"/>
    <s v="Stephen Reed"/>
    <s v="Pharmacy"/>
    <n v="32484"/>
    <n v="25.679051383399209"/>
    <m/>
    <m/>
  </r>
  <r>
    <x v="3"/>
    <s v="Company V"/>
    <s v="Cream"/>
    <s v="100 mg/ml"/>
    <s v="10 ml"/>
    <n v="529"/>
    <s v="$6114"/>
    <x v="282"/>
    <x v="1"/>
    <s v="Joshua Hebert"/>
    <s v="Pharmacy"/>
    <n v="6114"/>
    <n v="11.557655954631381"/>
    <m/>
    <m/>
  </r>
  <r>
    <x v="3"/>
    <s v="Company V"/>
    <s v="Syrup"/>
    <s v="500 mg"/>
    <s v="100 ml"/>
    <n v="424"/>
    <s v="$36660"/>
    <x v="335"/>
    <x v="4"/>
    <s v="Anthony King"/>
    <s v="Pharmacy"/>
    <n v="36660"/>
    <n v="86.462264150943398"/>
    <m/>
    <m/>
  </r>
  <r>
    <x v="3"/>
    <s v="Company Z"/>
    <s v="Injection"/>
    <s v="50 mg"/>
    <n v="60"/>
    <n v="1902"/>
    <s v="$4193"/>
    <x v="146"/>
    <x v="2"/>
    <s v="Amy Bentley"/>
    <s v="Online Pharmacy"/>
    <n v="4193"/>
    <n v="2.2045215562565721"/>
    <m/>
    <m/>
  </r>
  <r>
    <x v="3"/>
    <s v="Company W"/>
    <s v="Injection"/>
    <s v="100 mg/ml"/>
    <n v="60"/>
    <n v="1560"/>
    <s v="$33167"/>
    <x v="207"/>
    <x v="2"/>
    <s v="Lori Cole"/>
    <s v="Pharmacy"/>
    <n v="33167"/>
    <n v="21.260897435897437"/>
    <m/>
    <m/>
  </r>
  <r>
    <x v="1"/>
    <s v="Company Z"/>
    <s v="Capsule"/>
    <s v="10 mg"/>
    <n v="60"/>
    <n v="375"/>
    <s v="$13847"/>
    <x v="181"/>
    <x v="0"/>
    <s v="Jesse Choi"/>
    <s v="Clinics"/>
    <n v="13847"/>
    <n v="36.925333333333334"/>
    <m/>
    <m/>
  </r>
  <r>
    <x v="2"/>
    <s v="Company X"/>
    <s v="Cream"/>
    <s v="10 mg"/>
    <s v="10 ml"/>
    <n v="1663"/>
    <s v="$47873"/>
    <x v="201"/>
    <x v="4"/>
    <s v="Vanessa Watson"/>
    <s v="Clinics"/>
    <n v="47873"/>
    <n v="28.787131689717377"/>
    <m/>
    <m/>
  </r>
  <r>
    <x v="4"/>
    <s v="Company W"/>
    <s v="Cream"/>
    <s v="100 mg/ml"/>
    <s v="100 ml"/>
    <n v="997"/>
    <s v="$34888"/>
    <x v="304"/>
    <x v="3"/>
    <s v="Brian Cole"/>
    <s v="Online Pharmacy"/>
    <n v="34888"/>
    <n v="34.992978936810431"/>
    <m/>
    <m/>
  </r>
  <r>
    <x v="3"/>
    <s v="Company W"/>
    <s v="Tablet"/>
    <s v="10 mg"/>
    <n v="60"/>
    <n v="1718"/>
    <s v="$35098"/>
    <x v="273"/>
    <x v="0"/>
    <s v="Joshua Johnson"/>
    <s v="Pharmacy"/>
    <n v="35098"/>
    <n v="20.429569266589056"/>
    <m/>
    <m/>
  </r>
  <r>
    <x v="1"/>
    <s v="Company Y"/>
    <s v="Injection"/>
    <s v="250 mg"/>
    <s v="10 ml"/>
    <n v="324"/>
    <s v="$15547"/>
    <x v="336"/>
    <x v="0"/>
    <s v="Anne Coleman"/>
    <s v="Supermarkets"/>
    <n v="15547"/>
    <n v="47.98456790123457"/>
    <m/>
    <m/>
  </r>
  <r>
    <x v="3"/>
    <s v="Company W"/>
    <s v="Tablet"/>
    <s v="500 mg"/>
    <n v="60"/>
    <n v="1929"/>
    <s v="$15465"/>
    <x v="116"/>
    <x v="2"/>
    <s v="Melanie Mccoy DDS"/>
    <s v="Clinics"/>
    <n v="15465"/>
    <n v="8.0171073094867804"/>
    <m/>
    <m/>
  </r>
  <r>
    <x v="4"/>
    <s v="Company Z"/>
    <s v="Injection"/>
    <s v="100 mg/ml"/>
    <s v="10 ml"/>
    <n v="1206"/>
    <s v="$44930"/>
    <x v="45"/>
    <x v="1"/>
    <s v="William Blackburn"/>
    <s v="Online Pharmacy"/>
    <n v="44930"/>
    <n v="37.255389718076287"/>
    <m/>
    <m/>
  </r>
  <r>
    <x v="4"/>
    <s v="Company X"/>
    <s v="Capsule"/>
    <s v="10 mg"/>
    <n v="60"/>
    <n v="1937"/>
    <s v="$16796"/>
    <x v="337"/>
    <x v="3"/>
    <s v="Alyssa Harvey"/>
    <s v="Hospitals"/>
    <n v="16796"/>
    <n v="8.6711409395973149"/>
    <m/>
    <m/>
  </r>
  <r>
    <x v="4"/>
    <s v="Company Z"/>
    <s v="Cream"/>
    <s v="50 mg"/>
    <s v="100 ml"/>
    <n v="1705"/>
    <s v="$9606"/>
    <x v="59"/>
    <x v="2"/>
    <s v="Jack Carpenter"/>
    <s v="Supermarkets"/>
    <n v="9606"/>
    <n v="5.6340175953079177"/>
    <m/>
    <m/>
  </r>
  <r>
    <x v="2"/>
    <s v="Company X"/>
    <s v="Cream"/>
    <s v="250 mg"/>
    <s v="100 ml"/>
    <n v="938"/>
    <s v="$21278"/>
    <x v="73"/>
    <x v="0"/>
    <s v="Robert Gordon"/>
    <s v="Pharmacy"/>
    <n v="21278"/>
    <n v="22.684434968017058"/>
    <m/>
    <m/>
  </r>
  <r>
    <x v="0"/>
    <s v="Company V"/>
    <s v="Tablet"/>
    <s v="50 mg"/>
    <s v="100 ml"/>
    <n v="1566"/>
    <s v="$25494"/>
    <x v="245"/>
    <x v="0"/>
    <s v="Dawn Bryant"/>
    <s v="Online Pharmacy"/>
    <n v="25494"/>
    <n v="16.279693486590038"/>
    <m/>
    <m/>
  </r>
  <r>
    <x v="4"/>
    <s v="Company X"/>
    <s v="Injection"/>
    <s v="50 mg"/>
    <n v="30"/>
    <n v="1644"/>
    <s v="$23908"/>
    <x v="271"/>
    <x v="0"/>
    <s v="Darren Lowe"/>
    <s v="Supermarkets"/>
    <n v="23908"/>
    <n v="14.54257907542579"/>
    <m/>
    <m/>
  </r>
  <r>
    <x v="0"/>
    <s v="Company V"/>
    <s v="Injection"/>
    <s v="10 mg"/>
    <n v="30"/>
    <n v="765"/>
    <s v="$37749"/>
    <x v="51"/>
    <x v="0"/>
    <s v="Anna Page"/>
    <s v="Pharmacy"/>
    <n v="37749"/>
    <n v="49.345098039215685"/>
    <m/>
    <m/>
  </r>
  <r>
    <x v="4"/>
    <s v="Company Z"/>
    <s v="Syrup"/>
    <s v="100 mg/ml"/>
    <s v="50 g"/>
    <n v="946"/>
    <s v="$40826"/>
    <x v="207"/>
    <x v="0"/>
    <s v="Eric Wolf"/>
    <s v="Clinics"/>
    <n v="40826"/>
    <n v="43.15644820295983"/>
    <m/>
    <m/>
  </r>
  <r>
    <x v="4"/>
    <s v="Company V"/>
    <s v="Syrup"/>
    <s v="250 mg"/>
    <n v="60"/>
    <n v="399"/>
    <s v="$2187"/>
    <x v="20"/>
    <x v="2"/>
    <s v="Leslie Chapman"/>
    <s v="Clinics"/>
    <n v="2187"/>
    <n v="5.481203007518797"/>
    <m/>
    <m/>
  </r>
  <r>
    <x v="3"/>
    <s v="Company W"/>
    <s v="Cream"/>
    <s v="250 mg"/>
    <n v="60"/>
    <n v="1193"/>
    <s v="$37828"/>
    <x v="287"/>
    <x v="1"/>
    <s v="Margaret Davies"/>
    <s v="Pharmacy"/>
    <n v="37828"/>
    <n v="31.708298407376361"/>
    <m/>
    <m/>
  </r>
  <r>
    <x v="4"/>
    <s v="Company Y"/>
    <s v="Capsule"/>
    <s v="10 mg"/>
    <s v="100 ml"/>
    <n v="187"/>
    <s v="$42709"/>
    <x v="74"/>
    <x v="4"/>
    <s v="Nancy Woods"/>
    <s v="Hospitals"/>
    <n v="42709"/>
    <n v="228.39037433155079"/>
    <m/>
    <m/>
  </r>
  <r>
    <x v="0"/>
    <s v="Company Y"/>
    <s v="Syrup"/>
    <s v="10 mg"/>
    <s v="10 ml"/>
    <n v="1360"/>
    <s v="$35945"/>
    <x v="272"/>
    <x v="1"/>
    <s v="Samuel Peterson"/>
    <s v="Pharmacy"/>
    <n v="35945"/>
    <n v="26.430147058823529"/>
    <m/>
    <m/>
  </r>
  <r>
    <x v="0"/>
    <s v="Company W"/>
    <s v="Injection"/>
    <s v="250 mg"/>
    <n v="60"/>
    <n v="872"/>
    <s v="$22950"/>
    <x v="81"/>
    <x v="3"/>
    <s v="Donald Kennedy"/>
    <s v="Supermarkets"/>
    <n v="22950"/>
    <n v="26.318807339449542"/>
    <m/>
    <m/>
  </r>
  <r>
    <x v="0"/>
    <s v="Company X"/>
    <s v="Tablet"/>
    <s v="50 mg"/>
    <s v="100 ml"/>
    <n v="537"/>
    <s v="$44378"/>
    <x v="41"/>
    <x v="1"/>
    <s v="Olivia Smith"/>
    <s v="Online Pharmacy"/>
    <n v="44378"/>
    <n v="82.640595903165732"/>
    <m/>
    <m/>
  </r>
  <r>
    <x v="1"/>
    <s v="Company Y"/>
    <s v="Cream"/>
    <s v="100 mg/ml"/>
    <s v="50 g"/>
    <n v="696"/>
    <s v="$49562"/>
    <x v="244"/>
    <x v="0"/>
    <s v="Gloria Curry"/>
    <s v="Online Pharmacy"/>
    <n v="49562"/>
    <n v="71.209770114942529"/>
    <m/>
    <m/>
  </r>
  <r>
    <x v="3"/>
    <s v="Company Y"/>
    <s v="Cream"/>
    <s v="50 mg"/>
    <n v="60"/>
    <n v="357"/>
    <s v="$35849"/>
    <x v="321"/>
    <x v="4"/>
    <s v="Rachel Donaldson"/>
    <s v="Online Pharmacy"/>
    <n v="35849"/>
    <n v="100.41736694677871"/>
    <m/>
    <m/>
  </r>
  <r>
    <x v="0"/>
    <s v="Company V"/>
    <s v="Syrup"/>
    <s v="250 mg"/>
    <s v="100 ml"/>
    <n v="1179"/>
    <s v="$43406"/>
    <x v="169"/>
    <x v="1"/>
    <s v="Mark Johnston"/>
    <s v="Hospitals"/>
    <n v="43406"/>
    <n v="36.815945716709074"/>
    <m/>
    <m/>
  </r>
  <r>
    <x v="0"/>
    <s v="Company W"/>
    <s v="Capsule"/>
    <s v="100 mg/ml"/>
    <s v="10 ml"/>
    <n v="1352"/>
    <s v="$41492"/>
    <x v="338"/>
    <x v="0"/>
    <s v="Danny Porter"/>
    <s v="Hospitals"/>
    <n v="41492"/>
    <n v="30.689349112426036"/>
    <m/>
    <m/>
  </r>
  <r>
    <x v="0"/>
    <s v="Company Z"/>
    <s v="Tablet"/>
    <s v="250 mg"/>
    <s v="100 ml"/>
    <n v="1691"/>
    <s v="$17378"/>
    <x v="180"/>
    <x v="0"/>
    <s v="Tracy Russell"/>
    <s v="Clinics"/>
    <n v="17378"/>
    <n v="10.276759314015376"/>
    <m/>
    <m/>
  </r>
  <r>
    <x v="1"/>
    <s v="Company W"/>
    <s v="Capsule"/>
    <s v="50 mg"/>
    <s v="10 ml"/>
    <n v="680"/>
    <s v="$37383"/>
    <x v="231"/>
    <x v="4"/>
    <s v="Matthew Medina"/>
    <s v="Supermarkets"/>
    <n v="37383"/>
    <n v="54.975000000000001"/>
    <m/>
    <m/>
  </r>
  <r>
    <x v="1"/>
    <s v="Company Y"/>
    <s v="Syrup"/>
    <s v="50 mg"/>
    <s v="50 g"/>
    <n v="971"/>
    <s v="$22075"/>
    <x v="65"/>
    <x v="3"/>
    <s v="Erin Molina"/>
    <s v="Pharmacy"/>
    <n v="22075"/>
    <n v="22.734294541709577"/>
    <m/>
    <m/>
  </r>
  <r>
    <x v="1"/>
    <s v="Company Y"/>
    <s v="Tablet"/>
    <s v="50 mg"/>
    <s v="50 g"/>
    <n v="1321"/>
    <s v="$26875"/>
    <x v="307"/>
    <x v="0"/>
    <s v="Ronald Owens"/>
    <s v="Clinics"/>
    <n v="26875"/>
    <n v="20.344436033308099"/>
    <m/>
    <m/>
  </r>
  <r>
    <x v="4"/>
    <s v="Company Z"/>
    <s v="Capsule"/>
    <s v="500 mg"/>
    <s v="100 ml"/>
    <n v="1134"/>
    <s v="$12807"/>
    <x v="262"/>
    <x v="4"/>
    <s v="Lori Russo"/>
    <s v="Pharmacy"/>
    <n v="12807"/>
    <n v="11.293650793650794"/>
    <m/>
    <m/>
  </r>
  <r>
    <x v="0"/>
    <s v="Company W"/>
    <s v="Injection"/>
    <s v="500 mg"/>
    <s v="100 ml"/>
    <n v="163"/>
    <s v="$36531"/>
    <x v="83"/>
    <x v="4"/>
    <s v="Katherine Doyle"/>
    <s v="Online Pharmacy"/>
    <n v="36531"/>
    <n v="224.11656441717793"/>
    <m/>
    <m/>
  </r>
  <r>
    <x v="2"/>
    <s v="Company V"/>
    <s v="Injection"/>
    <s v="250 mg"/>
    <s v="10 ml"/>
    <n v="641"/>
    <s v="$19362"/>
    <x v="265"/>
    <x v="2"/>
    <s v="Matthew Thompson"/>
    <s v="Pharmacy"/>
    <n v="19362"/>
    <n v="30.205928237129484"/>
    <m/>
    <m/>
  </r>
  <r>
    <x v="2"/>
    <s v="Company X"/>
    <s v="Injection"/>
    <s v="100 mg/ml"/>
    <s v="100 ml"/>
    <n v="1114"/>
    <s v="$46343"/>
    <x v="286"/>
    <x v="4"/>
    <s v="Travis Goodman"/>
    <s v="Hospitals"/>
    <n v="46343"/>
    <n v="41.600538599640934"/>
    <m/>
    <m/>
  </r>
  <r>
    <x v="3"/>
    <s v="Company X"/>
    <s v="Tablet"/>
    <s v="500 mg"/>
    <s v="100 ml"/>
    <n v="1128"/>
    <s v="$25909"/>
    <x v="325"/>
    <x v="4"/>
    <s v="Emily Alexander"/>
    <s v="Clinics"/>
    <n v="25909"/>
    <n v="22.968971631205672"/>
    <m/>
    <m/>
  </r>
  <r>
    <x v="0"/>
    <s v="Company X"/>
    <s v="Syrup"/>
    <s v="100 mg/ml"/>
    <s v="100 ml"/>
    <n v="455"/>
    <s v="$19258"/>
    <x v="98"/>
    <x v="4"/>
    <s v="Susan Arroyo"/>
    <s v="Clinics"/>
    <n v="19258"/>
    <n v="42.325274725274724"/>
    <m/>
    <m/>
  </r>
  <r>
    <x v="2"/>
    <s v="Company Z"/>
    <s v="Capsule"/>
    <s v="50 mg"/>
    <s v="10 ml"/>
    <n v="1660"/>
    <s v="$1292"/>
    <x v="169"/>
    <x v="4"/>
    <s v="Douglas Holloway"/>
    <s v="Clinics"/>
    <n v="1292"/>
    <n v="0.77831325301204823"/>
    <m/>
    <m/>
  </r>
  <r>
    <x v="2"/>
    <s v="Company X"/>
    <s v="Tablet"/>
    <s v="100 mg/ml"/>
    <s v="50 g"/>
    <n v="582"/>
    <s v="$6514"/>
    <x v="261"/>
    <x v="0"/>
    <s v="Christina Mata"/>
    <s v="Supermarkets"/>
    <n v="6514"/>
    <n v="11.192439862542955"/>
    <m/>
    <m/>
  </r>
  <r>
    <x v="3"/>
    <s v="Company W"/>
    <s v="Injection"/>
    <s v="100 mg/ml"/>
    <n v="60"/>
    <n v="716"/>
    <s v="$7865"/>
    <x v="234"/>
    <x v="4"/>
    <s v="Christopher Miranda"/>
    <s v="Hospitals"/>
    <n v="7865"/>
    <n v="10.98463687150838"/>
    <m/>
    <m/>
  </r>
  <r>
    <x v="1"/>
    <s v="Company X"/>
    <s v="Syrup"/>
    <s v="500 mg"/>
    <s v="50 g"/>
    <n v="200"/>
    <s v="$15045"/>
    <x v="243"/>
    <x v="3"/>
    <s v="Ms. Olivia Murray"/>
    <s v="Supermarkets"/>
    <n v="15045"/>
    <n v="75.224999999999994"/>
    <m/>
    <m/>
  </r>
  <r>
    <x v="1"/>
    <s v="Company Y"/>
    <s v="Capsule"/>
    <s v="500 mg"/>
    <n v="30"/>
    <n v="151"/>
    <s v="$13928"/>
    <x v="156"/>
    <x v="3"/>
    <s v="Kimberly Miller"/>
    <s v="Pharmacy"/>
    <n v="13928"/>
    <n v="92.238410596026483"/>
    <m/>
    <m/>
  </r>
  <r>
    <x v="4"/>
    <s v="Company Z"/>
    <s v="Injection"/>
    <s v="500 mg"/>
    <n v="60"/>
    <n v="1084"/>
    <s v="$10084"/>
    <x v="285"/>
    <x v="4"/>
    <s v="Thomas Tran"/>
    <s v="Online Pharmacy"/>
    <n v="10084"/>
    <n v="9.3025830258302591"/>
    <m/>
    <m/>
  </r>
  <r>
    <x v="2"/>
    <s v="Company V"/>
    <s v="Injection"/>
    <s v="250 mg"/>
    <n v="60"/>
    <n v="369"/>
    <s v="$27023"/>
    <x v="317"/>
    <x v="0"/>
    <s v="Holly Jones"/>
    <s v="Clinics"/>
    <n v="27023"/>
    <n v="73.233062330623312"/>
    <m/>
    <m/>
  </r>
  <r>
    <x v="2"/>
    <s v="Company Y"/>
    <s v="Tablet"/>
    <s v="500 mg"/>
    <n v="30"/>
    <n v="1689"/>
    <s v="$42571"/>
    <x v="339"/>
    <x v="4"/>
    <s v="Joshua Jackson"/>
    <s v="Online Pharmacy"/>
    <n v="42571"/>
    <n v="25.204854943753702"/>
    <m/>
    <m/>
  </r>
  <r>
    <x v="4"/>
    <s v="Company Z"/>
    <s v="Capsule"/>
    <s v="250 mg"/>
    <n v="30"/>
    <n v="1435"/>
    <s v="$33459"/>
    <x v="51"/>
    <x v="4"/>
    <s v="Sara Sullivan"/>
    <s v="Hospitals"/>
    <n v="33459"/>
    <n v="23.31637630662021"/>
    <m/>
    <m/>
  </r>
  <r>
    <x v="1"/>
    <s v="Company Z"/>
    <s v="Injection"/>
    <s v="50 mg"/>
    <s v="50 g"/>
    <n v="433"/>
    <s v="$5852"/>
    <x v="292"/>
    <x v="2"/>
    <s v="Jeffrey Bruce"/>
    <s v="Supermarkets"/>
    <n v="5852"/>
    <n v="13.515011547344111"/>
    <m/>
    <m/>
  </r>
  <r>
    <x v="3"/>
    <s v="Company Z"/>
    <s v="Cream"/>
    <s v="500 mg"/>
    <s v="50 g"/>
    <n v="425"/>
    <s v="$30089"/>
    <x v="152"/>
    <x v="0"/>
    <s v="Mark Newman"/>
    <s v="Pharmacy"/>
    <n v="30089"/>
    <n v="70.797647058823529"/>
    <m/>
    <m/>
  </r>
  <r>
    <x v="2"/>
    <s v="Company V"/>
    <s v="Tablet"/>
    <s v="50 mg"/>
    <n v="60"/>
    <n v="1331"/>
    <s v="$23249"/>
    <x v="116"/>
    <x v="3"/>
    <s v="Michael Gonzalez"/>
    <s v="Clinics"/>
    <n v="23249"/>
    <n v="17.467317806160782"/>
    <m/>
    <m/>
  </r>
  <r>
    <x v="4"/>
    <s v="Company Y"/>
    <s v="Tablet"/>
    <s v="500 mg"/>
    <s v="50 g"/>
    <n v="700"/>
    <s v="$14747"/>
    <x v="41"/>
    <x v="2"/>
    <s v="John Sloan"/>
    <s v="Online Pharmacy"/>
    <n v="14747"/>
    <n v="21.067142857142859"/>
    <m/>
    <m/>
  </r>
  <r>
    <x v="3"/>
    <s v="Company Z"/>
    <s v="Capsule"/>
    <s v="250 mg"/>
    <n v="60"/>
    <n v="1290"/>
    <s v="$26612"/>
    <x v="137"/>
    <x v="1"/>
    <s v="Mark Phillips"/>
    <s v="Hospitals"/>
    <n v="26612"/>
    <n v="20.629457364341086"/>
    <m/>
    <m/>
  </r>
  <r>
    <x v="2"/>
    <s v="Company X"/>
    <s v="Tablet"/>
    <s v="10 mg"/>
    <n v="30"/>
    <n v="1697"/>
    <s v="$22505"/>
    <x v="80"/>
    <x v="2"/>
    <s v="Kristina Shepard"/>
    <s v="Clinics"/>
    <n v="22505"/>
    <n v="13.26163818503241"/>
    <m/>
    <m/>
  </r>
  <r>
    <x v="0"/>
    <s v="Company Y"/>
    <s v="Capsule"/>
    <s v="50 mg"/>
    <n v="60"/>
    <n v="1435"/>
    <s v="$12698"/>
    <x v="295"/>
    <x v="2"/>
    <s v="Paul Garcia"/>
    <s v="Supermarkets"/>
    <n v="12698"/>
    <n v="8.8487804878048788"/>
    <m/>
    <m/>
  </r>
  <r>
    <x v="2"/>
    <s v="Company Y"/>
    <s v="Tablet"/>
    <s v="250 mg"/>
    <s v="50 g"/>
    <n v="676"/>
    <s v="$37974"/>
    <x v="192"/>
    <x v="2"/>
    <s v="Colleen Proctor"/>
    <s v="Supermarkets"/>
    <n v="37974"/>
    <n v="56.174556213017752"/>
    <m/>
    <m/>
  </r>
  <r>
    <x v="1"/>
    <s v="Company V"/>
    <s v="Tablet"/>
    <s v="500 mg"/>
    <s v="10 ml"/>
    <n v="1529"/>
    <s v="$37893"/>
    <x v="340"/>
    <x v="3"/>
    <s v="Frank Lara"/>
    <s v="Clinics"/>
    <n v="37893"/>
    <n v="24.782864617396992"/>
    <m/>
    <m/>
  </r>
  <r>
    <x v="2"/>
    <s v="Company V"/>
    <s v="Capsule"/>
    <s v="10 mg"/>
    <s v="10 ml"/>
    <n v="1904"/>
    <s v="$47774"/>
    <x v="173"/>
    <x v="1"/>
    <s v="Richard Wilson"/>
    <s v="Pharmacy"/>
    <n v="47774"/>
    <n v="25.091386554621849"/>
    <m/>
    <m/>
  </r>
  <r>
    <x v="4"/>
    <s v="Company Y"/>
    <s v="Injection"/>
    <s v="100 mg/ml"/>
    <n v="60"/>
    <n v="274"/>
    <s v="$36990"/>
    <x v="146"/>
    <x v="3"/>
    <s v="Christopher Sutton"/>
    <s v="Supermarkets"/>
    <n v="36990"/>
    <n v="135"/>
    <m/>
    <m/>
  </r>
  <r>
    <x v="0"/>
    <s v="Company Z"/>
    <s v="Cream"/>
    <s v="50 mg"/>
    <s v="10 ml"/>
    <n v="974"/>
    <s v="$13263"/>
    <x v="129"/>
    <x v="2"/>
    <s v="Andrew Simpson"/>
    <s v="Clinics"/>
    <n v="13263"/>
    <n v="13.617043121149898"/>
    <m/>
    <m/>
  </r>
  <r>
    <x v="2"/>
    <s v="Company Y"/>
    <s v="Syrup"/>
    <s v="100 mg/ml"/>
    <n v="30"/>
    <n v="1169"/>
    <s v="$30037"/>
    <x v="242"/>
    <x v="2"/>
    <s v="Heather Butler"/>
    <s v="Online Pharmacy"/>
    <n v="30037"/>
    <n v="25.694610778443113"/>
    <m/>
    <m/>
  </r>
  <r>
    <x v="2"/>
    <s v="Company Y"/>
    <s v="Capsule"/>
    <s v="500 mg"/>
    <s v="10 ml"/>
    <n v="1922"/>
    <s v="$30322"/>
    <x v="91"/>
    <x v="2"/>
    <s v="Suzanne Hopkins DVM"/>
    <s v="Supermarkets"/>
    <n v="30322"/>
    <n v="15.776274713839751"/>
    <m/>
    <m/>
  </r>
  <r>
    <x v="0"/>
    <s v="Company V"/>
    <s v="Syrup"/>
    <s v="100 mg/ml"/>
    <n v="60"/>
    <n v="1656"/>
    <s v="$2052"/>
    <x v="209"/>
    <x v="3"/>
    <s v="Spencer Bird"/>
    <s v="Hospitals"/>
    <n v="2052"/>
    <n v="1.2391304347826086"/>
    <m/>
    <m/>
  </r>
  <r>
    <x v="4"/>
    <s v="Company V"/>
    <s v="Tablet"/>
    <s v="500 mg"/>
    <n v="30"/>
    <n v="999"/>
    <s v="$1790"/>
    <x v="183"/>
    <x v="3"/>
    <s v="John Weaver"/>
    <s v="Pharmacy"/>
    <n v="1790"/>
    <n v="1.7917917917917918"/>
    <m/>
    <m/>
  </r>
  <r>
    <x v="4"/>
    <s v="Company Y"/>
    <s v="Cream"/>
    <s v="500 mg"/>
    <s v="10 ml"/>
    <n v="1027"/>
    <s v="$5568"/>
    <x v="75"/>
    <x v="3"/>
    <s v="Anthony Mclean MD"/>
    <s v="Online Pharmacy"/>
    <n v="5568"/>
    <n v="5.4216163583252195"/>
    <m/>
    <m/>
  </r>
  <r>
    <x v="2"/>
    <s v="Company Z"/>
    <s v="Tablet"/>
    <s v="250 mg"/>
    <s v="100 ml"/>
    <n v="202"/>
    <s v="$35739"/>
    <x v="341"/>
    <x v="2"/>
    <s v="Wendy Shepherd"/>
    <s v="Supermarkets"/>
    <n v="35739"/>
    <n v="176.92574257425741"/>
    <m/>
    <m/>
  </r>
  <r>
    <x v="2"/>
    <s v="Company Y"/>
    <s v="Capsule"/>
    <s v="100 mg/ml"/>
    <s v="100 ml"/>
    <n v="868"/>
    <s v="$39318"/>
    <x v="103"/>
    <x v="4"/>
    <s v="Erica Patterson"/>
    <s v="Supermarkets"/>
    <n v="39318"/>
    <n v="45.297235023041473"/>
    <m/>
    <m/>
  </r>
  <r>
    <x v="2"/>
    <s v="Company Z"/>
    <s v="Cream"/>
    <s v="100 mg/ml"/>
    <n v="30"/>
    <n v="783"/>
    <s v="$7230"/>
    <x v="276"/>
    <x v="4"/>
    <s v="Justin Li"/>
    <s v="Pharmacy"/>
    <n v="7230"/>
    <n v="9.2337164750957861"/>
    <m/>
    <m/>
  </r>
  <r>
    <x v="3"/>
    <s v="Company Y"/>
    <s v="Tablet"/>
    <s v="100 mg/ml"/>
    <n v="60"/>
    <n v="624"/>
    <s v="$39173"/>
    <x v="124"/>
    <x v="3"/>
    <s v="George Reyes"/>
    <s v="Pharmacy"/>
    <n v="39173"/>
    <n v="62.777243589743591"/>
    <m/>
    <m/>
  </r>
  <r>
    <x v="3"/>
    <s v="Company Z"/>
    <s v="Tablet"/>
    <s v="50 mg"/>
    <n v="30"/>
    <n v="144"/>
    <s v="$31678"/>
    <x v="54"/>
    <x v="0"/>
    <s v="Stephen Day DDS"/>
    <s v="Online Pharmacy"/>
    <n v="31678"/>
    <n v="219.98611111111111"/>
    <m/>
    <m/>
  </r>
  <r>
    <x v="0"/>
    <s v="Company X"/>
    <s v="Injection"/>
    <s v="50 mg"/>
    <s v="10 ml"/>
    <n v="1705"/>
    <s v="$3950"/>
    <x v="54"/>
    <x v="4"/>
    <s v="James Roberson"/>
    <s v="Pharmacy"/>
    <n v="3950"/>
    <n v="2.3167155425219943"/>
    <m/>
    <m/>
  </r>
  <r>
    <x v="3"/>
    <s v="Company Y"/>
    <s v="Injection"/>
    <s v="50 mg"/>
    <s v="100 ml"/>
    <n v="1435"/>
    <s v="$11503"/>
    <x v="36"/>
    <x v="4"/>
    <s v="Tanya Thompson"/>
    <s v="Pharmacy"/>
    <n v="11503"/>
    <n v="8.0160278745644593"/>
    <m/>
    <m/>
  </r>
  <r>
    <x v="4"/>
    <s v="Company Y"/>
    <s v="Tablet"/>
    <s v="50 mg"/>
    <s v="50 g"/>
    <n v="1882"/>
    <s v="$23935"/>
    <x v="283"/>
    <x v="4"/>
    <s v="Allison Bennett"/>
    <s v="Clinics"/>
    <n v="23935"/>
    <n v="12.717853347502658"/>
    <m/>
    <m/>
  </r>
  <r>
    <x v="2"/>
    <s v="Company W"/>
    <s v="Injection"/>
    <s v="100 mg/ml"/>
    <s v="100 ml"/>
    <n v="1018"/>
    <s v="$42507"/>
    <x v="14"/>
    <x v="3"/>
    <s v="Adam Jones"/>
    <s v="Hospitals"/>
    <n v="42507"/>
    <n v="41.755402750491157"/>
    <m/>
    <m/>
  </r>
  <r>
    <x v="1"/>
    <s v="Company V"/>
    <s v="Capsule"/>
    <s v="500 mg"/>
    <s v="100 ml"/>
    <n v="1895"/>
    <s v="$40085"/>
    <x v="289"/>
    <x v="4"/>
    <s v="Monique Morton"/>
    <s v="Hospitals"/>
    <n v="40085"/>
    <n v="21.153034300791557"/>
    <m/>
    <m/>
  </r>
  <r>
    <x v="2"/>
    <s v="Company X"/>
    <s v="Cream"/>
    <s v="250 mg"/>
    <s v="50 g"/>
    <n v="634"/>
    <s v="$27518"/>
    <x v="125"/>
    <x v="0"/>
    <s v="Audrey Neal"/>
    <s v="Pharmacy"/>
    <n v="27518"/>
    <n v="43.403785488958988"/>
    <m/>
    <m/>
  </r>
  <r>
    <x v="0"/>
    <s v="Company Z"/>
    <s v="Capsule"/>
    <s v="100 mg/ml"/>
    <s v="50 g"/>
    <n v="598"/>
    <s v="$44610"/>
    <x v="240"/>
    <x v="4"/>
    <s v="Scott Williams"/>
    <s v="Supermarkets"/>
    <n v="44610"/>
    <n v="74.598662207357862"/>
    <m/>
    <m/>
  </r>
  <r>
    <x v="3"/>
    <s v="Company Y"/>
    <s v="Injection"/>
    <s v="50 mg"/>
    <n v="60"/>
    <n v="1619"/>
    <s v="$35793"/>
    <x v="3"/>
    <x v="4"/>
    <s v="Darryl Rivera"/>
    <s v="Online Pharmacy"/>
    <n v="35793"/>
    <n v="22.108091414453366"/>
    <m/>
    <m/>
  </r>
  <r>
    <x v="0"/>
    <s v="Company X"/>
    <s v="Syrup"/>
    <s v="100 mg/ml"/>
    <s v="100 ml"/>
    <n v="359"/>
    <s v="$36979"/>
    <x v="99"/>
    <x v="4"/>
    <s v="Molly Adams"/>
    <s v="Clinics"/>
    <n v="36979"/>
    <n v="103.00557103064067"/>
    <m/>
    <m/>
  </r>
  <r>
    <x v="1"/>
    <s v="Company Y"/>
    <s v="Cream"/>
    <s v="50 mg"/>
    <s v="100 ml"/>
    <n v="1502"/>
    <s v="$12221"/>
    <x v="236"/>
    <x v="3"/>
    <s v="Michele Vance"/>
    <s v="Clinics"/>
    <n v="12221"/>
    <n v="8.1364846870838878"/>
    <m/>
    <m/>
  </r>
  <r>
    <x v="2"/>
    <s v="Company W"/>
    <s v="Tablet"/>
    <s v="250 mg"/>
    <n v="30"/>
    <n v="1552"/>
    <s v="$11238"/>
    <x v="143"/>
    <x v="2"/>
    <s v="John Anthony"/>
    <s v="Online Pharmacy"/>
    <n v="11238"/>
    <n v="7.2409793814432986"/>
    <m/>
    <m/>
  </r>
  <r>
    <x v="2"/>
    <s v="Company W"/>
    <s v="Capsule"/>
    <s v="50 mg"/>
    <s v="10 ml"/>
    <n v="1152"/>
    <s v="$39119"/>
    <x v="143"/>
    <x v="4"/>
    <s v="Joseph Smith"/>
    <s v="Clinics"/>
    <n v="39119"/>
    <n v="33.957465277777779"/>
    <m/>
    <m/>
  </r>
  <r>
    <x v="3"/>
    <s v="Company X"/>
    <s v="Syrup"/>
    <s v="100 mg/ml"/>
    <n v="60"/>
    <n v="996"/>
    <s v="$46219"/>
    <x v="257"/>
    <x v="1"/>
    <s v="Mary Hanson"/>
    <s v="Pharmacy"/>
    <n v="46219"/>
    <n v="46.404618473895582"/>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Tablet"/>
    <s v="100 mg/ml"/>
    <s v="50 g"/>
    <n v="1500"/>
    <s v="$43833"/>
    <x v="0"/>
    <x v="0"/>
    <x v="0"/>
    <x v="0"/>
    <x v="0"/>
    <n v="29.222000000000001"/>
    <m/>
  </r>
  <r>
    <x v="0"/>
    <x v="1"/>
    <s v="Cream"/>
    <s v="500 mg"/>
    <s v="100 ml"/>
    <n v="1194"/>
    <s v="$48717"/>
    <x v="1"/>
    <x v="0"/>
    <x v="1"/>
    <x v="0"/>
    <x v="1"/>
    <n v="40.801507537688444"/>
    <m/>
  </r>
  <r>
    <x v="1"/>
    <x v="1"/>
    <s v="Capsule"/>
    <s v="50 mg"/>
    <n v="60"/>
    <n v="618"/>
    <s v="$8744"/>
    <x v="2"/>
    <x v="1"/>
    <x v="2"/>
    <x v="1"/>
    <x v="2"/>
    <n v="14.148867313915858"/>
    <m/>
  </r>
  <r>
    <x v="1"/>
    <x v="1"/>
    <s v="Injection"/>
    <s v="10 mg"/>
    <s v="100 ml"/>
    <n v="1455"/>
    <s v="$25321"/>
    <x v="3"/>
    <x v="2"/>
    <x v="3"/>
    <x v="2"/>
    <x v="3"/>
    <n v="17.402749140893469"/>
    <m/>
  </r>
  <r>
    <x v="2"/>
    <x v="2"/>
    <s v="Tablet"/>
    <s v="100 mg/ml"/>
    <s v="50 g"/>
    <n v="130"/>
    <s v="$13669"/>
    <x v="4"/>
    <x v="0"/>
    <x v="4"/>
    <x v="0"/>
    <x v="4"/>
    <n v="105.14615384615385"/>
    <m/>
  </r>
  <r>
    <x v="0"/>
    <x v="2"/>
    <s v="Capsule"/>
    <s v="100 mg/ml"/>
    <s v="10 ml"/>
    <n v="619"/>
    <s v="$7552"/>
    <x v="5"/>
    <x v="3"/>
    <x v="5"/>
    <x v="1"/>
    <x v="5"/>
    <n v="12.200323101777061"/>
    <m/>
  </r>
  <r>
    <x v="2"/>
    <x v="1"/>
    <s v="Cream"/>
    <s v="500 mg"/>
    <n v="30"/>
    <n v="1779"/>
    <s v="$48563"/>
    <x v="1"/>
    <x v="4"/>
    <x v="6"/>
    <x v="1"/>
    <x v="6"/>
    <n v="27.297920179876336"/>
    <m/>
  </r>
  <r>
    <x v="0"/>
    <x v="1"/>
    <s v="Tablet"/>
    <s v="500 mg"/>
    <s v="10 ml"/>
    <n v="1727"/>
    <s v="$13672"/>
    <x v="6"/>
    <x v="2"/>
    <x v="7"/>
    <x v="3"/>
    <x v="7"/>
    <n v="7.9166184134337003"/>
    <m/>
  </r>
  <r>
    <x v="3"/>
    <x v="2"/>
    <s v="Capsule"/>
    <s v="500 mg"/>
    <s v="50 g"/>
    <n v="451"/>
    <s v="$45835"/>
    <x v="7"/>
    <x v="2"/>
    <x v="8"/>
    <x v="4"/>
    <x v="8"/>
    <n v="101.62971175166297"/>
    <m/>
  </r>
  <r>
    <x v="2"/>
    <x v="1"/>
    <s v="Cream"/>
    <s v="10 mg"/>
    <s v="10 ml"/>
    <n v="1006"/>
    <s v="$31716"/>
    <x v="8"/>
    <x v="2"/>
    <x v="9"/>
    <x v="4"/>
    <x v="9"/>
    <n v="31.526838966202785"/>
    <m/>
  </r>
  <r>
    <x v="2"/>
    <x v="3"/>
    <s v="Capsule"/>
    <s v="50 mg"/>
    <s v="100 ml"/>
    <n v="1633"/>
    <s v="$33931"/>
    <x v="9"/>
    <x v="3"/>
    <x v="10"/>
    <x v="2"/>
    <x v="10"/>
    <n v="20.778322106552359"/>
    <m/>
  </r>
  <r>
    <x v="3"/>
    <x v="4"/>
    <s v="Cream"/>
    <s v="50 mg"/>
    <n v="30"/>
    <n v="128"/>
    <s v="$35258"/>
    <x v="10"/>
    <x v="4"/>
    <x v="11"/>
    <x v="3"/>
    <x v="11"/>
    <n v="275.453125"/>
    <m/>
  </r>
  <r>
    <x v="2"/>
    <x v="2"/>
    <s v="Injection"/>
    <s v="500 mg"/>
    <s v="10 ml"/>
    <n v="504"/>
    <s v="$36459"/>
    <x v="11"/>
    <x v="3"/>
    <x v="12"/>
    <x v="2"/>
    <x v="12"/>
    <n v="72.339285714285708"/>
    <m/>
  </r>
  <r>
    <x v="1"/>
    <x v="2"/>
    <s v="Cream"/>
    <s v="500 mg"/>
    <s v="100 ml"/>
    <n v="216"/>
    <s v="$32152"/>
    <x v="12"/>
    <x v="3"/>
    <x v="13"/>
    <x v="2"/>
    <x v="13"/>
    <n v="148.85185185185185"/>
    <m/>
  </r>
  <r>
    <x v="1"/>
    <x v="2"/>
    <s v="Injection"/>
    <s v="10 mg"/>
    <s v="10 ml"/>
    <n v="1986"/>
    <s v="$13538"/>
    <x v="13"/>
    <x v="3"/>
    <x v="14"/>
    <x v="2"/>
    <x v="14"/>
    <n v="6.8167170191339377"/>
    <m/>
  </r>
  <r>
    <x v="3"/>
    <x v="0"/>
    <s v="Cream"/>
    <s v="50 mg"/>
    <n v="30"/>
    <n v="1977"/>
    <s v="$9566"/>
    <x v="14"/>
    <x v="1"/>
    <x v="15"/>
    <x v="3"/>
    <x v="15"/>
    <n v="4.838644410723318"/>
    <m/>
  </r>
  <r>
    <x v="3"/>
    <x v="2"/>
    <s v="Tablet"/>
    <s v="100 mg/ml"/>
    <s v="50 g"/>
    <n v="1320"/>
    <s v="$29932"/>
    <x v="15"/>
    <x v="4"/>
    <x v="16"/>
    <x v="0"/>
    <x v="16"/>
    <n v="22.675757575757576"/>
    <m/>
  </r>
  <r>
    <x v="1"/>
    <x v="0"/>
    <s v="Cream"/>
    <s v="10 mg"/>
    <n v="30"/>
    <n v="1766"/>
    <s v="$45608"/>
    <x v="16"/>
    <x v="0"/>
    <x v="17"/>
    <x v="2"/>
    <x v="17"/>
    <n v="25.82559456398641"/>
    <m/>
  </r>
  <r>
    <x v="0"/>
    <x v="1"/>
    <s v="Syrup"/>
    <s v="100 mg/ml"/>
    <n v="60"/>
    <n v="1078"/>
    <s v="$42394"/>
    <x v="17"/>
    <x v="0"/>
    <x v="18"/>
    <x v="3"/>
    <x v="18"/>
    <n v="39.326530612244895"/>
    <m/>
  </r>
  <r>
    <x v="2"/>
    <x v="1"/>
    <s v="Injection"/>
    <s v="500 mg"/>
    <n v="60"/>
    <n v="783"/>
    <s v="$48016"/>
    <x v="18"/>
    <x v="2"/>
    <x v="19"/>
    <x v="0"/>
    <x v="19"/>
    <n v="61.323116219667945"/>
    <m/>
  </r>
  <r>
    <x v="1"/>
    <x v="1"/>
    <s v="Capsule"/>
    <s v="100 mg/ml"/>
    <n v="60"/>
    <n v="1161"/>
    <s v="$11048"/>
    <x v="19"/>
    <x v="3"/>
    <x v="20"/>
    <x v="0"/>
    <x v="20"/>
    <n v="9.5159345391903525"/>
    <m/>
  </r>
  <r>
    <x v="3"/>
    <x v="1"/>
    <s v="Capsule"/>
    <s v="50 mg"/>
    <s v="50 g"/>
    <n v="1820"/>
    <s v="$16952"/>
    <x v="20"/>
    <x v="1"/>
    <x v="21"/>
    <x v="1"/>
    <x v="21"/>
    <n v="9.3142857142857149"/>
    <m/>
  </r>
  <r>
    <x v="4"/>
    <x v="2"/>
    <s v="Tablet"/>
    <s v="50 mg"/>
    <n v="60"/>
    <n v="147"/>
    <s v="$28543"/>
    <x v="21"/>
    <x v="1"/>
    <x v="22"/>
    <x v="1"/>
    <x v="22"/>
    <n v="194.17006802721087"/>
    <m/>
  </r>
  <r>
    <x v="0"/>
    <x v="4"/>
    <s v="Capsule"/>
    <s v="250 mg"/>
    <n v="60"/>
    <n v="990"/>
    <s v="$5766"/>
    <x v="22"/>
    <x v="4"/>
    <x v="23"/>
    <x v="3"/>
    <x v="23"/>
    <n v="5.8242424242424242"/>
    <m/>
  </r>
  <r>
    <x v="0"/>
    <x v="4"/>
    <s v="Injection"/>
    <s v="500 mg"/>
    <n v="60"/>
    <n v="223"/>
    <s v="$23153"/>
    <x v="23"/>
    <x v="2"/>
    <x v="24"/>
    <x v="3"/>
    <x v="24"/>
    <n v="103.82511210762331"/>
    <m/>
  </r>
  <r>
    <x v="4"/>
    <x v="4"/>
    <s v="Syrup"/>
    <s v="250 mg"/>
    <s v="50 g"/>
    <n v="855"/>
    <s v="$22920"/>
    <x v="24"/>
    <x v="0"/>
    <x v="25"/>
    <x v="4"/>
    <x v="25"/>
    <n v="26.807017543859651"/>
    <m/>
  </r>
  <r>
    <x v="2"/>
    <x v="1"/>
    <s v="Cream"/>
    <s v="50 mg"/>
    <s v="100 ml"/>
    <n v="968"/>
    <s v="$6595"/>
    <x v="25"/>
    <x v="1"/>
    <x v="26"/>
    <x v="1"/>
    <x v="26"/>
    <n v="6.8130165289256199"/>
    <m/>
  </r>
  <r>
    <x v="0"/>
    <x v="0"/>
    <s v="Cream"/>
    <s v="10 mg"/>
    <s v="10 ml"/>
    <n v="1378"/>
    <s v="$37523"/>
    <x v="26"/>
    <x v="0"/>
    <x v="27"/>
    <x v="3"/>
    <x v="27"/>
    <n v="27.230043541364296"/>
    <m/>
  </r>
  <r>
    <x v="0"/>
    <x v="4"/>
    <s v="Tablet"/>
    <s v="500 mg"/>
    <s v="100 ml"/>
    <n v="1473"/>
    <s v="$23815"/>
    <x v="27"/>
    <x v="0"/>
    <x v="28"/>
    <x v="4"/>
    <x v="28"/>
    <n v="16.167684996605566"/>
    <m/>
  </r>
  <r>
    <x v="2"/>
    <x v="1"/>
    <s v="Capsule"/>
    <s v="250 mg"/>
    <s v="100 ml"/>
    <n v="791"/>
    <s v="$40754"/>
    <x v="28"/>
    <x v="1"/>
    <x v="29"/>
    <x v="1"/>
    <x v="29"/>
    <n v="51.522123893805308"/>
    <m/>
  </r>
  <r>
    <x v="2"/>
    <x v="2"/>
    <s v="Tablet"/>
    <s v="10 mg"/>
    <s v="50 g"/>
    <n v="1523"/>
    <s v="$35645"/>
    <x v="29"/>
    <x v="0"/>
    <x v="30"/>
    <x v="0"/>
    <x v="30"/>
    <n v="23.404464871963231"/>
    <m/>
  </r>
  <r>
    <x v="1"/>
    <x v="0"/>
    <s v="Cream"/>
    <s v="250 mg"/>
    <s v="50 g"/>
    <n v="1214"/>
    <s v="$1820"/>
    <x v="30"/>
    <x v="0"/>
    <x v="31"/>
    <x v="3"/>
    <x v="31"/>
    <n v="1.4991762767710048"/>
    <m/>
  </r>
  <r>
    <x v="2"/>
    <x v="2"/>
    <s v="Injection"/>
    <s v="250 mg"/>
    <n v="60"/>
    <n v="440"/>
    <s v="$13578"/>
    <x v="31"/>
    <x v="2"/>
    <x v="32"/>
    <x v="1"/>
    <x v="32"/>
    <n v="30.859090909090909"/>
    <m/>
  </r>
  <r>
    <x v="4"/>
    <x v="3"/>
    <s v="Syrup"/>
    <s v="10 mg"/>
    <n v="60"/>
    <n v="1574"/>
    <s v="$47682"/>
    <x v="32"/>
    <x v="1"/>
    <x v="33"/>
    <x v="4"/>
    <x v="33"/>
    <n v="30.293519695044473"/>
    <m/>
  </r>
  <r>
    <x v="3"/>
    <x v="0"/>
    <s v="Cream"/>
    <s v="250 mg"/>
    <s v="50 g"/>
    <n v="1880"/>
    <s v="$41604"/>
    <x v="33"/>
    <x v="4"/>
    <x v="34"/>
    <x v="2"/>
    <x v="34"/>
    <n v="22.129787234042553"/>
    <m/>
  </r>
  <r>
    <x v="1"/>
    <x v="4"/>
    <s v="Tablet"/>
    <s v="100 mg/ml"/>
    <s v="10 ml"/>
    <n v="383"/>
    <s v="$21024"/>
    <x v="34"/>
    <x v="0"/>
    <x v="35"/>
    <x v="1"/>
    <x v="35"/>
    <n v="54.892950391644909"/>
    <m/>
  </r>
  <r>
    <x v="1"/>
    <x v="3"/>
    <s v="Injection"/>
    <s v="10 mg"/>
    <s v="10 ml"/>
    <n v="253"/>
    <s v="$18363"/>
    <x v="35"/>
    <x v="0"/>
    <x v="36"/>
    <x v="3"/>
    <x v="36"/>
    <n v="72.581027667984188"/>
    <m/>
  </r>
  <r>
    <x v="2"/>
    <x v="3"/>
    <s v="Syrup"/>
    <s v="100 mg/ml"/>
    <n v="30"/>
    <n v="1818"/>
    <s v="$2347"/>
    <x v="36"/>
    <x v="1"/>
    <x v="37"/>
    <x v="3"/>
    <x v="37"/>
    <n v="1.290979097909791"/>
    <m/>
  </r>
  <r>
    <x v="1"/>
    <x v="4"/>
    <s v="Tablet"/>
    <s v="250 mg"/>
    <s v="50 g"/>
    <n v="1351"/>
    <s v="$41781"/>
    <x v="37"/>
    <x v="2"/>
    <x v="38"/>
    <x v="0"/>
    <x v="38"/>
    <n v="30.925980754996299"/>
    <m/>
  </r>
  <r>
    <x v="0"/>
    <x v="3"/>
    <s v="Syrup"/>
    <s v="50 mg"/>
    <s v="10 ml"/>
    <n v="1904"/>
    <s v="$34028"/>
    <x v="38"/>
    <x v="1"/>
    <x v="39"/>
    <x v="1"/>
    <x v="39"/>
    <n v="17.8718487394958"/>
    <m/>
  </r>
  <r>
    <x v="0"/>
    <x v="0"/>
    <s v="Injection"/>
    <s v="100 mg/ml"/>
    <s v="10 ml"/>
    <n v="1954"/>
    <s v="$6369"/>
    <x v="39"/>
    <x v="1"/>
    <x v="40"/>
    <x v="4"/>
    <x v="40"/>
    <n v="3.2594677584442171"/>
    <m/>
  </r>
  <r>
    <x v="3"/>
    <x v="2"/>
    <s v="Capsule"/>
    <s v="100 mg/ml"/>
    <n v="60"/>
    <n v="1042"/>
    <s v="$18788"/>
    <x v="40"/>
    <x v="3"/>
    <x v="41"/>
    <x v="0"/>
    <x v="41"/>
    <n v="18.030710172744723"/>
    <m/>
  </r>
  <r>
    <x v="4"/>
    <x v="2"/>
    <s v="Cream"/>
    <s v="250 mg"/>
    <s v="10 ml"/>
    <n v="1564"/>
    <s v="$22868"/>
    <x v="41"/>
    <x v="0"/>
    <x v="42"/>
    <x v="4"/>
    <x v="42"/>
    <n v="14.621483375959079"/>
    <m/>
  </r>
  <r>
    <x v="2"/>
    <x v="3"/>
    <s v="Syrup"/>
    <s v="100 mg/ml"/>
    <s v="100 ml"/>
    <n v="1741"/>
    <s v="$16211"/>
    <x v="42"/>
    <x v="1"/>
    <x v="43"/>
    <x v="0"/>
    <x v="43"/>
    <n v="9.3113153360137844"/>
    <m/>
  </r>
  <r>
    <x v="2"/>
    <x v="2"/>
    <s v="Syrup"/>
    <s v="250 mg"/>
    <s v="50 g"/>
    <n v="565"/>
    <s v="$32496"/>
    <x v="43"/>
    <x v="0"/>
    <x v="44"/>
    <x v="4"/>
    <x v="44"/>
    <n v="57.515044247787614"/>
    <m/>
  </r>
  <r>
    <x v="2"/>
    <x v="2"/>
    <s v="Capsule"/>
    <s v="500 mg"/>
    <s v="50 g"/>
    <n v="293"/>
    <s v="$40588"/>
    <x v="44"/>
    <x v="4"/>
    <x v="45"/>
    <x v="4"/>
    <x v="45"/>
    <n v="138.52559726962457"/>
    <m/>
  </r>
  <r>
    <x v="1"/>
    <x v="3"/>
    <s v="Capsule"/>
    <s v="500 mg"/>
    <s v="10 ml"/>
    <n v="1032"/>
    <s v="$23173"/>
    <x v="45"/>
    <x v="1"/>
    <x v="46"/>
    <x v="4"/>
    <x v="46"/>
    <n v="22.454457364341085"/>
    <m/>
  </r>
  <r>
    <x v="3"/>
    <x v="4"/>
    <s v="Capsule"/>
    <s v="250 mg"/>
    <s v="10 ml"/>
    <n v="1315"/>
    <s v="$3801"/>
    <x v="46"/>
    <x v="0"/>
    <x v="47"/>
    <x v="0"/>
    <x v="47"/>
    <n v="2.890494296577947"/>
    <m/>
  </r>
  <r>
    <x v="0"/>
    <x v="1"/>
    <s v="Syrup"/>
    <s v="100 mg/ml"/>
    <n v="60"/>
    <n v="1499"/>
    <s v="$18175"/>
    <x v="47"/>
    <x v="3"/>
    <x v="48"/>
    <x v="2"/>
    <x v="48"/>
    <n v="12.124749833222149"/>
    <m/>
  </r>
  <r>
    <x v="0"/>
    <x v="4"/>
    <s v="Capsule"/>
    <s v="250 mg"/>
    <s v="50 g"/>
    <n v="1427"/>
    <s v="$1053"/>
    <x v="48"/>
    <x v="3"/>
    <x v="49"/>
    <x v="0"/>
    <x v="49"/>
    <n v="0.73791170287316044"/>
    <m/>
  </r>
  <r>
    <x v="3"/>
    <x v="2"/>
    <s v="Syrup"/>
    <s v="500 mg"/>
    <n v="60"/>
    <n v="1044"/>
    <s v="$29042"/>
    <x v="49"/>
    <x v="4"/>
    <x v="50"/>
    <x v="1"/>
    <x v="50"/>
    <n v="27.81800766283525"/>
    <m/>
  </r>
  <r>
    <x v="0"/>
    <x v="0"/>
    <s v="Cream"/>
    <s v="10 mg"/>
    <n v="60"/>
    <n v="257"/>
    <s v="$28677"/>
    <x v="50"/>
    <x v="1"/>
    <x v="51"/>
    <x v="3"/>
    <x v="51"/>
    <n v="111.58365758754864"/>
    <m/>
  </r>
  <r>
    <x v="3"/>
    <x v="2"/>
    <s v="Capsule"/>
    <s v="50 mg"/>
    <n v="30"/>
    <n v="1768"/>
    <s v="$40547"/>
    <x v="13"/>
    <x v="1"/>
    <x v="52"/>
    <x v="1"/>
    <x v="52"/>
    <n v="22.933823529411764"/>
    <m/>
  </r>
  <r>
    <x v="0"/>
    <x v="1"/>
    <s v="Syrup"/>
    <s v="250 mg"/>
    <s v="50 g"/>
    <n v="654"/>
    <s v="$16542"/>
    <x v="51"/>
    <x v="2"/>
    <x v="53"/>
    <x v="1"/>
    <x v="53"/>
    <n v="25.293577981651374"/>
    <m/>
  </r>
  <r>
    <x v="2"/>
    <x v="4"/>
    <s v="Tablet"/>
    <s v="100 mg/ml"/>
    <n v="60"/>
    <n v="1137"/>
    <s v="$33706"/>
    <x v="52"/>
    <x v="4"/>
    <x v="54"/>
    <x v="1"/>
    <x v="54"/>
    <n v="29.644678979771328"/>
    <m/>
  </r>
  <r>
    <x v="1"/>
    <x v="1"/>
    <s v="Capsule"/>
    <s v="10 mg"/>
    <n v="30"/>
    <n v="739"/>
    <s v="$38821"/>
    <x v="50"/>
    <x v="0"/>
    <x v="55"/>
    <x v="2"/>
    <x v="55"/>
    <n v="52.531799729364003"/>
    <m/>
  </r>
  <r>
    <x v="3"/>
    <x v="1"/>
    <s v="Capsule"/>
    <s v="10 mg"/>
    <s v="100 ml"/>
    <n v="1610"/>
    <s v="$5779"/>
    <x v="53"/>
    <x v="4"/>
    <x v="56"/>
    <x v="2"/>
    <x v="56"/>
    <n v="3.5894409937888199"/>
    <m/>
  </r>
  <r>
    <x v="4"/>
    <x v="2"/>
    <s v="Syrup"/>
    <s v="500 mg"/>
    <n v="60"/>
    <n v="1703"/>
    <s v="$7678"/>
    <x v="54"/>
    <x v="1"/>
    <x v="57"/>
    <x v="1"/>
    <x v="57"/>
    <n v="4.5085143863769819"/>
    <m/>
  </r>
  <r>
    <x v="0"/>
    <x v="3"/>
    <s v="Cream"/>
    <s v="250 mg"/>
    <n v="60"/>
    <n v="1639"/>
    <s v="$15878"/>
    <x v="55"/>
    <x v="3"/>
    <x v="58"/>
    <x v="2"/>
    <x v="58"/>
    <n v="9.6876143990237953"/>
    <m/>
  </r>
  <r>
    <x v="0"/>
    <x v="0"/>
    <s v="Capsule"/>
    <s v="10 mg"/>
    <s v="100 ml"/>
    <n v="1219"/>
    <s v="$48415"/>
    <x v="56"/>
    <x v="0"/>
    <x v="59"/>
    <x v="4"/>
    <x v="59"/>
    <n v="39.716981132075475"/>
    <m/>
  </r>
  <r>
    <x v="3"/>
    <x v="1"/>
    <s v="Syrup"/>
    <s v="50 mg"/>
    <s v="100 ml"/>
    <n v="871"/>
    <s v="$41051"/>
    <x v="57"/>
    <x v="2"/>
    <x v="60"/>
    <x v="1"/>
    <x v="60"/>
    <n v="47.130884041331804"/>
    <m/>
  </r>
  <r>
    <x v="2"/>
    <x v="0"/>
    <s v="Cream"/>
    <s v="250 mg"/>
    <s v="50 g"/>
    <n v="995"/>
    <s v="$17900"/>
    <x v="58"/>
    <x v="0"/>
    <x v="61"/>
    <x v="3"/>
    <x v="61"/>
    <n v="17.989949748743719"/>
    <m/>
  </r>
  <r>
    <x v="0"/>
    <x v="1"/>
    <s v="Injection"/>
    <s v="250 mg"/>
    <n v="30"/>
    <n v="1446"/>
    <s v="$37654"/>
    <x v="59"/>
    <x v="1"/>
    <x v="62"/>
    <x v="1"/>
    <x v="62"/>
    <n v="26.040110650069156"/>
    <m/>
  </r>
  <r>
    <x v="0"/>
    <x v="1"/>
    <s v="Tablet"/>
    <s v="10 mg"/>
    <n v="60"/>
    <n v="1269"/>
    <s v="$22319"/>
    <x v="60"/>
    <x v="4"/>
    <x v="63"/>
    <x v="3"/>
    <x v="63"/>
    <n v="17.587864460204887"/>
    <m/>
  </r>
  <r>
    <x v="3"/>
    <x v="0"/>
    <s v="Syrup"/>
    <s v="50 mg"/>
    <s v="10 ml"/>
    <n v="1232"/>
    <s v="$19247"/>
    <x v="61"/>
    <x v="3"/>
    <x v="64"/>
    <x v="1"/>
    <x v="64"/>
    <n v="15.622564935064934"/>
    <m/>
  </r>
  <r>
    <x v="3"/>
    <x v="1"/>
    <s v="Tablet"/>
    <s v="50 mg"/>
    <n v="30"/>
    <n v="814"/>
    <s v="$25411"/>
    <x v="62"/>
    <x v="0"/>
    <x v="65"/>
    <x v="3"/>
    <x v="65"/>
    <n v="31.217444717444717"/>
    <m/>
  </r>
  <r>
    <x v="0"/>
    <x v="2"/>
    <s v="Syrup"/>
    <s v="10 mg"/>
    <s v="100 ml"/>
    <n v="157"/>
    <s v="$3809"/>
    <x v="63"/>
    <x v="0"/>
    <x v="66"/>
    <x v="4"/>
    <x v="66"/>
    <n v="24.261146496815286"/>
    <m/>
  </r>
  <r>
    <x v="3"/>
    <x v="3"/>
    <s v="Syrup"/>
    <s v="10 mg"/>
    <n v="30"/>
    <n v="272"/>
    <s v="$39524"/>
    <x v="64"/>
    <x v="0"/>
    <x v="67"/>
    <x v="2"/>
    <x v="67"/>
    <n v="145.30882352941177"/>
    <m/>
  </r>
  <r>
    <x v="0"/>
    <x v="0"/>
    <s v="Cream"/>
    <s v="500 mg"/>
    <s v="50 g"/>
    <n v="1222"/>
    <s v="$19740"/>
    <x v="65"/>
    <x v="0"/>
    <x v="68"/>
    <x v="2"/>
    <x v="68"/>
    <n v="16.153846153846153"/>
    <m/>
  </r>
  <r>
    <x v="4"/>
    <x v="1"/>
    <s v="Capsule"/>
    <s v="250 mg"/>
    <s v="10 ml"/>
    <n v="151"/>
    <s v="$18797"/>
    <x v="66"/>
    <x v="3"/>
    <x v="69"/>
    <x v="1"/>
    <x v="69"/>
    <n v="124.48344370860927"/>
    <m/>
  </r>
  <r>
    <x v="4"/>
    <x v="2"/>
    <s v="Capsule"/>
    <s v="500 mg"/>
    <s v="10 ml"/>
    <n v="798"/>
    <s v="$23785"/>
    <x v="67"/>
    <x v="0"/>
    <x v="70"/>
    <x v="3"/>
    <x v="70"/>
    <n v="29.805764411027567"/>
    <m/>
  </r>
  <r>
    <x v="3"/>
    <x v="0"/>
    <s v="Injection"/>
    <s v="50 mg"/>
    <s v="10 ml"/>
    <n v="310"/>
    <s v="$31204"/>
    <x v="11"/>
    <x v="0"/>
    <x v="71"/>
    <x v="3"/>
    <x v="71"/>
    <n v="100.65806451612903"/>
    <m/>
  </r>
  <r>
    <x v="0"/>
    <x v="1"/>
    <s v="Tablet"/>
    <s v="50 mg"/>
    <s v="10 ml"/>
    <n v="1280"/>
    <s v="$45096"/>
    <x v="68"/>
    <x v="3"/>
    <x v="72"/>
    <x v="3"/>
    <x v="72"/>
    <n v="35.231250000000003"/>
    <m/>
  </r>
  <r>
    <x v="2"/>
    <x v="2"/>
    <s v="Syrup"/>
    <s v="100 mg/ml"/>
    <s v="50 g"/>
    <n v="1776"/>
    <s v="$30640"/>
    <x v="69"/>
    <x v="3"/>
    <x v="73"/>
    <x v="2"/>
    <x v="73"/>
    <n v="17.252252252252251"/>
    <m/>
  </r>
  <r>
    <x v="1"/>
    <x v="3"/>
    <s v="Cream"/>
    <s v="500 mg"/>
    <n v="30"/>
    <n v="784"/>
    <s v="$25665"/>
    <x v="28"/>
    <x v="0"/>
    <x v="74"/>
    <x v="1"/>
    <x v="74"/>
    <n v="32.735969387755105"/>
    <m/>
  </r>
  <r>
    <x v="3"/>
    <x v="3"/>
    <s v="Injection"/>
    <s v="250 mg"/>
    <n v="60"/>
    <n v="1936"/>
    <s v="$40605"/>
    <x v="70"/>
    <x v="1"/>
    <x v="75"/>
    <x v="3"/>
    <x v="75"/>
    <n v="20.97365702479339"/>
    <m/>
  </r>
  <r>
    <x v="4"/>
    <x v="2"/>
    <s v="Cream"/>
    <s v="10 mg"/>
    <s v="50 g"/>
    <n v="1675"/>
    <s v="$29315"/>
    <x v="43"/>
    <x v="1"/>
    <x v="76"/>
    <x v="2"/>
    <x v="76"/>
    <n v="17.501492537313432"/>
    <m/>
  </r>
  <r>
    <x v="1"/>
    <x v="1"/>
    <s v="Capsule"/>
    <s v="500 mg"/>
    <s v="100 ml"/>
    <n v="906"/>
    <s v="$10256"/>
    <x v="47"/>
    <x v="0"/>
    <x v="77"/>
    <x v="3"/>
    <x v="77"/>
    <n v="11.32008830022075"/>
    <m/>
  </r>
  <r>
    <x v="2"/>
    <x v="1"/>
    <s v="Cream"/>
    <s v="10 mg"/>
    <n v="60"/>
    <n v="873"/>
    <s v="$44797"/>
    <x v="71"/>
    <x v="4"/>
    <x v="78"/>
    <x v="1"/>
    <x v="78"/>
    <n v="51.313860252004581"/>
    <m/>
  </r>
  <r>
    <x v="2"/>
    <x v="2"/>
    <s v="Cream"/>
    <s v="250 mg"/>
    <n v="30"/>
    <n v="1227"/>
    <s v="$37132"/>
    <x v="72"/>
    <x v="0"/>
    <x v="79"/>
    <x v="2"/>
    <x v="79"/>
    <n v="30.262428687856559"/>
    <m/>
  </r>
  <r>
    <x v="2"/>
    <x v="3"/>
    <s v="Capsule"/>
    <s v="500 mg"/>
    <n v="30"/>
    <n v="1921"/>
    <s v="$8234"/>
    <x v="73"/>
    <x v="0"/>
    <x v="80"/>
    <x v="2"/>
    <x v="80"/>
    <n v="4.2863092139510668"/>
    <m/>
  </r>
  <r>
    <x v="3"/>
    <x v="4"/>
    <s v="Syrup"/>
    <s v="500 mg"/>
    <s v="10 ml"/>
    <n v="1907"/>
    <s v="$11906"/>
    <x v="74"/>
    <x v="2"/>
    <x v="81"/>
    <x v="3"/>
    <x v="81"/>
    <n v="6.2433141059255375"/>
    <m/>
  </r>
  <r>
    <x v="4"/>
    <x v="3"/>
    <s v="Cream"/>
    <s v="10 mg"/>
    <n v="60"/>
    <n v="1766"/>
    <s v="$36835"/>
    <x v="75"/>
    <x v="1"/>
    <x v="82"/>
    <x v="2"/>
    <x v="82"/>
    <n v="20.857870894677237"/>
    <m/>
  </r>
  <r>
    <x v="3"/>
    <x v="1"/>
    <s v="Syrup"/>
    <s v="250 mg"/>
    <n v="60"/>
    <n v="793"/>
    <s v="$45468"/>
    <x v="76"/>
    <x v="1"/>
    <x v="83"/>
    <x v="1"/>
    <x v="83"/>
    <n v="57.336696090794455"/>
    <m/>
  </r>
  <r>
    <x v="3"/>
    <x v="0"/>
    <s v="Cream"/>
    <s v="50 mg"/>
    <s v="100 ml"/>
    <n v="1738"/>
    <s v="$22945"/>
    <x v="77"/>
    <x v="0"/>
    <x v="84"/>
    <x v="4"/>
    <x v="84"/>
    <n v="13.201956271576524"/>
    <m/>
  </r>
  <r>
    <x v="2"/>
    <x v="4"/>
    <s v="Tablet"/>
    <s v="250 mg"/>
    <s v="100 ml"/>
    <n v="1088"/>
    <s v="$46398"/>
    <x v="12"/>
    <x v="0"/>
    <x v="85"/>
    <x v="3"/>
    <x v="85"/>
    <n v="42.645220588235297"/>
    <m/>
  </r>
  <r>
    <x v="2"/>
    <x v="0"/>
    <s v="Injection"/>
    <s v="250 mg"/>
    <s v="100 ml"/>
    <n v="643"/>
    <s v="$1303"/>
    <x v="78"/>
    <x v="1"/>
    <x v="86"/>
    <x v="1"/>
    <x v="86"/>
    <n v="2.0264385692068427"/>
    <m/>
  </r>
  <r>
    <x v="4"/>
    <x v="1"/>
    <s v="Syrup"/>
    <s v="250 mg"/>
    <s v="10 ml"/>
    <n v="1498"/>
    <s v="$33259"/>
    <x v="79"/>
    <x v="0"/>
    <x v="87"/>
    <x v="1"/>
    <x v="87"/>
    <n v="22.202269692923899"/>
    <m/>
  </r>
  <r>
    <x v="1"/>
    <x v="2"/>
    <s v="Injection"/>
    <s v="250 mg"/>
    <n v="30"/>
    <n v="1558"/>
    <s v="$8553"/>
    <x v="80"/>
    <x v="2"/>
    <x v="88"/>
    <x v="1"/>
    <x v="88"/>
    <n v="5.4897304236200259"/>
    <m/>
  </r>
  <r>
    <x v="4"/>
    <x v="3"/>
    <s v="Capsule"/>
    <s v="50 mg"/>
    <n v="30"/>
    <n v="1423"/>
    <s v="$28304"/>
    <x v="46"/>
    <x v="2"/>
    <x v="89"/>
    <x v="3"/>
    <x v="89"/>
    <n v="19.890372452565003"/>
    <m/>
  </r>
  <r>
    <x v="4"/>
    <x v="2"/>
    <s v="Capsule"/>
    <s v="100 mg/ml"/>
    <s v="10 ml"/>
    <n v="1777"/>
    <s v="$33795"/>
    <x v="81"/>
    <x v="0"/>
    <x v="90"/>
    <x v="2"/>
    <x v="90"/>
    <n v="19.01800787844682"/>
    <m/>
  </r>
  <r>
    <x v="1"/>
    <x v="2"/>
    <s v="Tablet"/>
    <s v="250 mg"/>
    <s v="100 ml"/>
    <n v="1908"/>
    <s v="$34115"/>
    <x v="82"/>
    <x v="2"/>
    <x v="91"/>
    <x v="0"/>
    <x v="91"/>
    <n v="17.879979035639412"/>
    <m/>
  </r>
  <r>
    <x v="2"/>
    <x v="1"/>
    <s v="Capsule"/>
    <s v="10 mg"/>
    <s v="100 ml"/>
    <n v="1291"/>
    <s v="$30051"/>
    <x v="34"/>
    <x v="3"/>
    <x v="92"/>
    <x v="2"/>
    <x v="92"/>
    <n v="23.27730441518203"/>
    <m/>
  </r>
  <r>
    <x v="3"/>
    <x v="2"/>
    <s v="Tablet"/>
    <s v="50 mg"/>
    <s v="10 ml"/>
    <n v="1702"/>
    <s v="$29950"/>
    <x v="4"/>
    <x v="0"/>
    <x v="93"/>
    <x v="2"/>
    <x v="93"/>
    <n v="17.596944770857814"/>
    <m/>
  </r>
  <r>
    <x v="1"/>
    <x v="4"/>
    <s v="Injection"/>
    <s v="500 mg"/>
    <n v="60"/>
    <n v="1367"/>
    <s v="$30714"/>
    <x v="83"/>
    <x v="1"/>
    <x v="94"/>
    <x v="2"/>
    <x v="94"/>
    <n v="22.468178493050477"/>
    <m/>
  </r>
  <r>
    <x v="4"/>
    <x v="2"/>
    <s v="Tablet"/>
    <s v="100 mg/ml"/>
    <n v="30"/>
    <n v="1583"/>
    <s v="$45689"/>
    <x v="84"/>
    <x v="2"/>
    <x v="95"/>
    <x v="4"/>
    <x v="95"/>
    <n v="28.862286797220467"/>
    <m/>
  </r>
  <r>
    <x v="1"/>
    <x v="2"/>
    <s v="Capsule"/>
    <s v="500 mg"/>
    <s v="100 ml"/>
    <n v="848"/>
    <s v="$35016"/>
    <x v="20"/>
    <x v="0"/>
    <x v="96"/>
    <x v="4"/>
    <x v="96"/>
    <n v="41.29245283018868"/>
    <m/>
  </r>
  <r>
    <x v="0"/>
    <x v="3"/>
    <s v="Syrup"/>
    <s v="10 mg"/>
    <s v="100 ml"/>
    <n v="1886"/>
    <s v="$11515"/>
    <x v="85"/>
    <x v="4"/>
    <x v="97"/>
    <x v="4"/>
    <x v="97"/>
    <n v="6.1055143160127257"/>
    <m/>
  </r>
  <r>
    <x v="4"/>
    <x v="2"/>
    <s v="Tablet"/>
    <s v="250 mg"/>
    <s v="50 g"/>
    <n v="1391"/>
    <s v="$49897"/>
    <x v="86"/>
    <x v="0"/>
    <x v="98"/>
    <x v="4"/>
    <x v="98"/>
    <n v="35.871315600287566"/>
    <m/>
  </r>
  <r>
    <x v="2"/>
    <x v="4"/>
    <s v="Injection"/>
    <s v="250 mg"/>
    <n v="60"/>
    <n v="536"/>
    <s v="$12572"/>
    <x v="87"/>
    <x v="1"/>
    <x v="99"/>
    <x v="3"/>
    <x v="99"/>
    <n v="23.455223880597014"/>
    <m/>
  </r>
  <r>
    <x v="0"/>
    <x v="4"/>
    <s v="Injection"/>
    <s v="500 mg"/>
    <n v="60"/>
    <n v="1999"/>
    <s v="$40809"/>
    <x v="88"/>
    <x v="0"/>
    <x v="100"/>
    <x v="2"/>
    <x v="100"/>
    <n v="20.414707353676839"/>
    <m/>
  </r>
  <r>
    <x v="4"/>
    <x v="4"/>
    <s v="Tablet"/>
    <s v="250 mg"/>
    <s v="10 ml"/>
    <n v="1192"/>
    <s v="$39757"/>
    <x v="89"/>
    <x v="1"/>
    <x v="101"/>
    <x v="0"/>
    <x v="101"/>
    <n v="33.353187919463089"/>
    <m/>
  </r>
  <r>
    <x v="4"/>
    <x v="0"/>
    <s v="Cream"/>
    <s v="250 mg"/>
    <s v="50 g"/>
    <n v="846"/>
    <s v="$2237"/>
    <x v="90"/>
    <x v="4"/>
    <x v="102"/>
    <x v="2"/>
    <x v="102"/>
    <n v="2.644208037825059"/>
    <m/>
  </r>
  <r>
    <x v="3"/>
    <x v="1"/>
    <s v="Injection"/>
    <s v="500 mg"/>
    <s v="10 ml"/>
    <n v="731"/>
    <s v="$35093"/>
    <x v="91"/>
    <x v="1"/>
    <x v="103"/>
    <x v="2"/>
    <x v="103"/>
    <n v="48.00683994528044"/>
    <m/>
  </r>
  <r>
    <x v="3"/>
    <x v="0"/>
    <s v="Tablet"/>
    <s v="100 mg/ml"/>
    <n v="30"/>
    <n v="1943"/>
    <s v="$44592"/>
    <x v="92"/>
    <x v="2"/>
    <x v="104"/>
    <x v="2"/>
    <x v="104"/>
    <n v="22.950077200205868"/>
    <m/>
  </r>
  <r>
    <x v="3"/>
    <x v="3"/>
    <s v="Capsule"/>
    <s v="100 mg/ml"/>
    <n v="60"/>
    <n v="1017"/>
    <s v="$29700"/>
    <x v="93"/>
    <x v="2"/>
    <x v="105"/>
    <x v="1"/>
    <x v="105"/>
    <n v="29.20353982300885"/>
    <m/>
  </r>
  <r>
    <x v="3"/>
    <x v="1"/>
    <s v="Cream"/>
    <s v="500 mg"/>
    <s v="10 ml"/>
    <n v="929"/>
    <s v="$37018"/>
    <x v="94"/>
    <x v="4"/>
    <x v="106"/>
    <x v="0"/>
    <x v="106"/>
    <n v="39.847147470398276"/>
    <m/>
  </r>
  <r>
    <x v="4"/>
    <x v="4"/>
    <s v="Capsule"/>
    <s v="10 mg"/>
    <n v="60"/>
    <n v="811"/>
    <s v="$44885"/>
    <x v="60"/>
    <x v="0"/>
    <x v="107"/>
    <x v="3"/>
    <x v="107"/>
    <n v="55.345252774352652"/>
    <m/>
  </r>
  <r>
    <x v="1"/>
    <x v="3"/>
    <s v="Syrup"/>
    <s v="500 mg"/>
    <n v="60"/>
    <n v="820"/>
    <s v="$14086"/>
    <x v="95"/>
    <x v="1"/>
    <x v="108"/>
    <x v="3"/>
    <x v="108"/>
    <n v="17.178048780487806"/>
    <m/>
  </r>
  <r>
    <x v="3"/>
    <x v="1"/>
    <s v="Syrup"/>
    <s v="100 mg/ml"/>
    <n v="60"/>
    <n v="698"/>
    <s v="$27380"/>
    <x v="96"/>
    <x v="1"/>
    <x v="109"/>
    <x v="3"/>
    <x v="109"/>
    <n v="39.226361031518621"/>
    <m/>
  </r>
  <r>
    <x v="2"/>
    <x v="3"/>
    <s v="Capsule"/>
    <s v="250 mg"/>
    <s v="10 ml"/>
    <n v="679"/>
    <s v="$35477"/>
    <x v="97"/>
    <x v="0"/>
    <x v="110"/>
    <x v="4"/>
    <x v="110"/>
    <n v="52.248895434462447"/>
    <m/>
  </r>
  <r>
    <x v="2"/>
    <x v="2"/>
    <s v="Capsule"/>
    <s v="10 mg"/>
    <s v="50 g"/>
    <n v="1225"/>
    <s v="$47265"/>
    <x v="98"/>
    <x v="0"/>
    <x v="111"/>
    <x v="2"/>
    <x v="111"/>
    <n v="38.583673469387755"/>
    <m/>
  </r>
  <r>
    <x v="0"/>
    <x v="0"/>
    <s v="Syrup"/>
    <s v="250 mg"/>
    <n v="60"/>
    <n v="1913"/>
    <s v="$37244"/>
    <x v="99"/>
    <x v="1"/>
    <x v="112"/>
    <x v="1"/>
    <x v="112"/>
    <n v="19.468897020386827"/>
    <m/>
  </r>
  <r>
    <x v="0"/>
    <x v="0"/>
    <s v="Tablet"/>
    <s v="100 mg/ml"/>
    <s v="10 ml"/>
    <n v="1381"/>
    <s v="$43046"/>
    <x v="100"/>
    <x v="3"/>
    <x v="113"/>
    <x v="3"/>
    <x v="113"/>
    <n v="31.170166545981171"/>
    <m/>
  </r>
  <r>
    <x v="3"/>
    <x v="0"/>
    <s v="Injection"/>
    <s v="100 mg/ml"/>
    <s v="50 g"/>
    <n v="939"/>
    <s v="$37589"/>
    <x v="101"/>
    <x v="2"/>
    <x v="114"/>
    <x v="4"/>
    <x v="114"/>
    <n v="40.030883919062831"/>
    <m/>
  </r>
  <r>
    <x v="0"/>
    <x v="4"/>
    <s v="Injection"/>
    <s v="10 mg"/>
    <s v="10 ml"/>
    <n v="472"/>
    <s v="$7516"/>
    <x v="102"/>
    <x v="0"/>
    <x v="115"/>
    <x v="3"/>
    <x v="115"/>
    <n v="15.923728813559322"/>
    <m/>
  </r>
  <r>
    <x v="2"/>
    <x v="3"/>
    <s v="Syrup"/>
    <s v="100 mg/ml"/>
    <s v="100 ml"/>
    <n v="405"/>
    <s v="$19413"/>
    <x v="103"/>
    <x v="2"/>
    <x v="116"/>
    <x v="3"/>
    <x v="116"/>
    <n v="47.93333333333333"/>
    <m/>
  </r>
  <r>
    <x v="1"/>
    <x v="4"/>
    <s v="Cream"/>
    <s v="50 mg"/>
    <s v="10 ml"/>
    <n v="383"/>
    <s v="$9225"/>
    <x v="104"/>
    <x v="4"/>
    <x v="117"/>
    <x v="3"/>
    <x v="117"/>
    <n v="24.08616187989556"/>
    <m/>
  </r>
  <r>
    <x v="2"/>
    <x v="4"/>
    <s v="Syrup"/>
    <s v="100 mg/ml"/>
    <s v="10 ml"/>
    <n v="1863"/>
    <s v="$35677"/>
    <x v="105"/>
    <x v="0"/>
    <x v="118"/>
    <x v="1"/>
    <x v="118"/>
    <n v="19.150295222758992"/>
    <m/>
  </r>
  <r>
    <x v="1"/>
    <x v="2"/>
    <s v="Syrup"/>
    <s v="10 mg"/>
    <s v="100 ml"/>
    <n v="469"/>
    <s v="$9657"/>
    <x v="3"/>
    <x v="0"/>
    <x v="119"/>
    <x v="0"/>
    <x v="119"/>
    <n v="20.590618336886994"/>
    <m/>
  </r>
  <r>
    <x v="3"/>
    <x v="3"/>
    <s v="Injection"/>
    <s v="50 mg"/>
    <s v="50 g"/>
    <n v="1296"/>
    <s v="$14169"/>
    <x v="106"/>
    <x v="3"/>
    <x v="120"/>
    <x v="1"/>
    <x v="120"/>
    <n v="10.93287037037037"/>
    <m/>
  </r>
  <r>
    <x v="4"/>
    <x v="2"/>
    <s v="Tablet"/>
    <s v="250 mg"/>
    <n v="60"/>
    <n v="1350"/>
    <s v="$24407"/>
    <x v="107"/>
    <x v="0"/>
    <x v="121"/>
    <x v="1"/>
    <x v="121"/>
    <n v="18.07925925925926"/>
    <m/>
  </r>
  <r>
    <x v="0"/>
    <x v="2"/>
    <s v="Tablet"/>
    <s v="10 mg"/>
    <s v="50 g"/>
    <n v="930"/>
    <s v="$3721"/>
    <x v="81"/>
    <x v="3"/>
    <x v="122"/>
    <x v="3"/>
    <x v="122"/>
    <n v="4.0010752688172042"/>
    <m/>
  </r>
  <r>
    <x v="2"/>
    <x v="2"/>
    <s v="Capsule"/>
    <s v="10 mg"/>
    <s v="10 ml"/>
    <n v="1185"/>
    <s v="$43131"/>
    <x v="108"/>
    <x v="2"/>
    <x v="123"/>
    <x v="0"/>
    <x v="123"/>
    <n v="36.39746835443038"/>
    <m/>
  </r>
  <r>
    <x v="1"/>
    <x v="2"/>
    <s v="Capsule"/>
    <s v="50 mg"/>
    <n v="60"/>
    <n v="179"/>
    <s v="$37526"/>
    <x v="109"/>
    <x v="0"/>
    <x v="124"/>
    <x v="4"/>
    <x v="124"/>
    <n v="209.64245810055866"/>
    <m/>
  </r>
  <r>
    <x v="0"/>
    <x v="3"/>
    <s v="Injection"/>
    <s v="10 mg"/>
    <n v="30"/>
    <n v="1859"/>
    <s v="$27781"/>
    <x v="110"/>
    <x v="0"/>
    <x v="125"/>
    <x v="2"/>
    <x v="125"/>
    <n v="14.944055944055943"/>
    <m/>
  </r>
  <r>
    <x v="4"/>
    <x v="2"/>
    <s v="Capsule"/>
    <s v="50 mg"/>
    <n v="60"/>
    <n v="1089"/>
    <s v="$6993"/>
    <x v="111"/>
    <x v="1"/>
    <x v="126"/>
    <x v="3"/>
    <x v="126"/>
    <n v="6.4214876033057848"/>
    <m/>
  </r>
  <r>
    <x v="3"/>
    <x v="3"/>
    <s v="Tablet"/>
    <s v="10 mg"/>
    <s v="10 ml"/>
    <n v="1428"/>
    <s v="$38657"/>
    <x v="112"/>
    <x v="1"/>
    <x v="127"/>
    <x v="3"/>
    <x v="127"/>
    <n v="27.070728291316527"/>
    <m/>
  </r>
  <r>
    <x v="3"/>
    <x v="1"/>
    <s v="Syrup"/>
    <s v="500 mg"/>
    <s v="10 ml"/>
    <n v="431"/>
    <s v="$42644"/>
    <x v="81"/>
    <x v="1"/>
    <x v="128"/>
    <x v="4"/>
    <x v="128"/>
    <n v="98.941995359628777"/>
    <m/>
  </r>
  <r>
    <x v="0"/>
    <x v="4"/>
    <s v="Capsule"/>
    <s v="50 mg"/>
    <s v="50 g"/>
    <n v="1670"/>
    <s v="$44138"/>
    <x v="113"/>
    <x v="1"/>
    <x v="129"/>
    <x v="1"/>
    <x v="129"/>
    <n v="26.429940119760477"/>
    <m/>
  </r>
  <r>
    <x v="4"/>
    <x v="3"/>
    <s v="Tablet"/>
    <s v="100 mg/ml"/>
    <s v="100 ml"/>
    <n v="206"/>
    <s v="$5211"/>
    <x v="28"/>
    <x v="4"/>
    <x v="130"/>
    <x v="1"/>
    <x v="130"/>
    <n v="25.296116504854368"/>
    <m/>
  </r>
  <r>
    <x v="3"/>
    <x v="1"/>
    <s v="Cream"/>
    <s v="100 mg/ml"/>
    <s v="100 ml"/>
    <n v="1499"/>
    <s v="$42504"/>
    <x v="114"/>
    <x v="0"/>
    <x v="131"/>
    <x v="2"/>
    <x v="131"/>
    <n v="28.354903268845899"/>
    <m/>
  </r>
  <r>
    <x v="0"/>
    <x v="1"/>
    <s v="Cream"/>
    <s v="500 mg"/>
    <n v="60"/>
    <n v="1503"/>
    <s v="$24284"/>
    <x v="69"/>
    <x v="4"/>
    <x v="132"/>
    <x v="3"/>
    <x v="132"/>
    <n v="16.157019294743847"/>
    <m/>
  </r>
  <r>
    <x v="3"/>
    <x v="4"/>
    <s v="Syrup"/>
    <s v="250 mg"/>
    <n v="60"/>
    <n v="1473"/>
    <s v="$49653"/>
    <x v="71"/>
    <x v="4"/>
    <x v="133"/>
    <x v="3"/>
    <x v="133"/>
    <n v="33.708757637474541"/>
    <m/>
  </r>
  <r>
    <x v="4"/>
    <x v="2"/>
    <s v="Capsule"/>
    <s v="100 mg/ml"/>
    <s v="10 ml"/>
    <n v="1294"/>
    <s v="$14645"/>
    <x v="2"/>
    <x v="0"/>
    <x v="134"/>
    <x v="2"/>
    <x v="134"/>
    <n v="11.317619783616692"/>
    <m/>
  </r>
  <r>
    <x v="1"/>
    <x v="3"/>
    <s v="Syrup"/>
    <s v="500 mg"/>
    <s v="100 ml"/>
    <n v="1337"/>
    <s v="$21269"/>
    <x v="115"/>
    <x v="3"/>
    <x v="135"/>
    <x v="0"/>
    <x v="135"/>
    <n v="15.908002991772625"/>
    <m/>
  </r>
  <r>
    <x v="0"/>
    <x v="1"/>
    <s v="Tablet"/>
    <s v="100 mg/ml"/>
    <s v="50 g"/>
    <n v="580"/>
    <s v="$15529"/>
    <x v="116"/>
    <x v="0"/>
    <x v="136"/>
    <x v="1"/>
    <x v="136"/>
    <n v="26.774137931034481"/>
    <m/>
  </r>
  <r>
    <x v="4"/>
    <x v="2"/>
    <s v="Tablet"/>
    <s v="500 mg"/>
    <n v="60"/>
    <n v="1872"/>
    <s v="$30435"/>
    <x v="117"/>
    <x v="1"/>
    <x v="137"/>
    <x v="2"/>
    <x v="137"/>
    <n v="16.258012820512821"/>
    <m/>
  </r>
  <r>
    <x v="3"/>
    <x v="0"/>
    <s v="Capsule"/>
    <s v="500 mg"/>
    <s v="10 ml"/>
    <n v="532"/>
    <s v="$28042"/>
    <x v="118"/>
    <x v="0"/>
    <x v="138"/>
    <x v="0"/>
    <x v="138"/>
    <n v="52.710526315789473"/>
    <m/>
  </r>
  <r>
    <x v="3"/>
    <x v="4"/>
    <s v="Tablet"/>
    <s v="100 mg/ml"/>
    <s v="100 ml"/>
    <n v="181"/>
    <s v="$32650"/>
    <x v="9"/>
    <x v="4"/>
    <x v="139"/>
    <x v="4"/>
    <x v="139"/>
    <n v="180.38674033149172"/>
    <m/>
  </r>
  <r>
    <x v="0"/>
    <x v="2"/>
    <s v="Capsule"/>
    <s v="500 mg"/>
    <s v="10 ml"/>
    <n v="422"/>
    <s v="$32388"/>
    <x v="101"/>
    <x v="3"/>
    <x v="140"/>
    <x v="3"/>
    <x v="140"/>
    <n v="76.748815165876778"/>
    <m/>
  </r>
  <r>
    <x v="4"/>
    <x v="2"/>
    <s v="Cream"/>
    <s v="500 mg"/>
    <s v="100 ml"/>
    <n v="892"/>
    <s v="$9396"/>
    <x v="119"/>
    <x v="0"/>
    <x v="141"/>
    <x v="0"/>
    <x v="141"/>
    <n v="10.533632286995516"/>
    <m/>
  </r>
  <r>
    <x v="3"/>
    <x v="1"/>
    <s v="Cream"/>
    <s v="250 mg"/>
    <n v="30"/>
    <n v="1964"/>
    <s v="$11786"/>
    <x v="44"/>
    <x v="2"/>
    <x v="142"/>
    <x v="4"/>
    <x v="142"/>
    <n v="6.0010183299389004"/>
    <m/>
  </r>
  <r>
    <x v="2"/>
    <x v="4"/>
    <s v="Tablet"/>
    <s v="250 mg"/>
    <n v="30"/>
    <n v="1698"/>
    <s v="$19170"/>
    <x v="73"/>
    <x v="3"/>
    <x v="143"/>
    <x v="2"/>
    <x v="143"/>
    <n v="11.289752650176679"/>
    <m/>
  </r>
  <r>
    <x v="0"/>
    <x v="1"/>
    <s v="Cream"/>
    <s v="500 mg"/>
    <n v="60"/>
    <n v="1222"/>
    <s v="$28574"/>
    <x v="120"/>
    <x v="4"/>
    <x v="144"/>
    <x v="0"/>
    <x v="144"/>
    <n v="23.382978723404257"/>
    <m/>
  </r>
  <r>
    <x v="0"/>
    <x v="2"/>
    <s v="Syrup"/>
    <s v="50 mg"/>
    <s v="10 ml"/>
    <n v="604"/>
    <s v="$38185"/>
    <x v="113"/>
    <x v="0"/>
    <x v="145"/>
    <x v="4"/>
    <x v="145"/>
    <n v="63.22019867549669"/>
    <m/>
  </r>
  <r>
    <x v="1"/>
    <x v="4"/>
    <s v="Cream"/>
    <s v="250 mg"/>
    <s v="50 g"/>
    <n v="1811"/>
    <s v="$42397"/>
    <x v="1"/>
    <x v="2"/>
    <x v="146"/>
    <x v="3"/>
    <x v="146"/>
    <n v="23.410822749861953"/>
    <m/>
  </r>
  <r>
    <x v="2"/>
    <x v="3"/>
    <s v="Injection"/>
    <s v="250 mg"/>
    <n v="60"/>
    <n v="560"/>
    <s v="$42407"/>
    <x v="121"/>
    <x v="3"/>
    <x v="147"/>
    <x v="2"/>
    <x v="147"/>
    <n v="75.726785714285711"/>
    <m/>
  </r>
  <r>
    <x v="2"/>
    <x v="1"/>
    <s v="Tablet"/>
    <s v="250 mg"/>
    <s v="10 ml"/>
    <n v="862"/>
    <s v="$49311"/>
    <x v="122"/>
    <x v="3"/>
    <x v="148"/>
    <x v="3"/>
    <x v="148"/>
    <n v="57.205336426914151"/>
    <m/>
  </r>
  <r>
    <x v="1"/>
    <x v="4"/>
    <s v="Tablet"/>
    <s v="500 mg"/>
    <s v="50 g"/>
    <n v="1017"/>
    <s v="$21123"/>
    <x v="123"/>
    <x v="1"/>
    <x v="149"/>
    <x v="0"/>
    <x v="149"/>
    <n v="20.76991150442478"/>
    <m/>
  </r>
  <r>
    <x v="2"/>
    <x v="0"/>
    <s v="Cream"/>
    <s v="250 mg"/>
    <n v="30"/>
    <n v="1468"/>
    <s v="$32204"/>
    <x v="124"/>
    <x v="0"/>
    <x v="150"/>
    <x v="3"/>
    <x v="150"/>
    <n v="21.937329700272478"/>
    <m/>
  </r>
  <r>
    <x v="1"/>
    <x v="0"/>
    <s v="Syrup"/>
    <s v="10 mg"/>
    <n v="30"/>
    <n v="1647"/>
    <s v="$21201"/>
    <x v="58"/>
    <x v="4"/>
    <x v="151"/>
    <x v="0"/>
    <x v="151"/>
    <n v="12.872495446265939"/>
    <m/>
  </r>
  <r>
    <x v="3"/>
    <x v="2"/>
    <s v="Tablet"/>
    <s v="250 mg"/>
    <n v="30"/>
    <n v="254"/>
    <s v="$43256"/>
    <x v="125"/>
    <x v="1"/>
    <x v="152"/>
    <x v="2"/>
    <x v="152"/>
    <n v="170.29921259842519"/>
    <m/>
  </r>
  <r>
    <x v="4"/>
    <x v="4"/>
    <s v="Syrup"/>
    <s v="50 mg"/>
    <s v="10 ml"/>
    <n v="1661"/>
    <s v="$8678"/>
    <x v="126"/>
    <x v="1"/>
    <x v="153"/>
    <x v="0"/>
    <x v="153"/>
    <n v="5.2245635159542445"/>
    <m/>
  </r>
  <r>
    <x v="0"/>
    <x v="3"/>
    <s v="Syrup"/>
    <s v="10 mg"/>
    <s v="100 ml"/>
    <n v="1446"/>
    <s v="$49381"/>
    <x v="88"/>
    <x v="2"/>
    <x v="154"/>
    <x v="4"/>
    <x v="154"/>
    <n v="34.15006915629322"/>
    <m/>
  </r>
  <r>
    <x v="4"/>
    <x v="2"/>
    <s v="Syrup"/>
    <s v="10 mg"/>
    <s v="100 ml"/>
    <n v="936"/>
    <s v="$48645"/>
    <x v="73"/>
    <x v="2"/>
    <x v="155"/>
    <x v="4"/>
    <x v="155"/>
    <n v="51.971153846153847"/>
    <m/>
  </r>
  <r>
    <x v="0"/>
    <x v="0"/>
    <s v="Injection"/>
    <s v="500 mg"/>
    <n v="30"/>
    <n v="1623"/>
    <s v="$21818"/>
    <x v="121"/>
    <x v="0"/>
    <x v="156"/>
    <x v="2"/>
    <x v="156"/>
    <n v="13.443006777572396"/>
    <m/>
  </r>
  <r>
    <x v="3"/>
    <x v="2"/>
    <s v="Cream"/>
    <s v="50 mg"/>
    <n v="30"/>
    <n v="1318"/>
    <s v="$7513"/>
    <x v="67"/>
    <x v="0"/>
    <x v="157"/>
    <x v="4"/>
    <x v="157"/>
    <n v="5.7003034901365703"/>
    <m/>
  </r>
  <r>
    <x v="2"/>
    <x v="2"/>
    <s v="Injection"/>
    <s v="100 mg/ml"/>
    <n v="30"/>
    <n v="123"/>
    <s v="$4294"/>
    <x v="110"/>
    <x v="2"/>
    <x v="158"/>
    <x v="1"/>
    <x v="158"/>
    <n v="34.91056910569106"/>
    <m/>
  </r>
  <r>
    <x v="4"/>
    <x v="3"/>
    <s v="Tablet"/>
    <s v="50 mg"/>
    <n v="30"/>
    <n v="1466"/>
    <s v="$24941"/>
    <x v="27"/>
    <x v="1"/>
    <x v="159"/>
    <x v="4"/>
    <x v="159"/>
    <n v="17.012960436562075"/>
    <m/>
  </r>
  <r>
    <x v="4"/>
    <x v="4"/>
    <s v="Cream"/>
    <s v="50 mg"/>
    <n v="60"/>
    <n v="390"/>
    <s v="$46339"/>
    <x v="127"/>
    <x v="1"/>
    <x v="160"/>
    <x v="0"/>
    <x v="160"/>
    <n v="118.81794871794872"/>
    <m/>
  </r>
  <r>
    <x v="2"/>
    <x v="2"/>
    <s v="Syrup"/>
    <s v="250 mg"/>
    <s v="50 g"/>
    <n v="1586"/>
    <s v="$9800"/>
    <x v="107"/>
    <x v="2"/>
    <x v="161"/>
    <x v="4"/>
    <x v="161"/>
    <n v="6.1790668348045399"/>
    <m/>
  </r>
  <r>
    <x v="4"/>
    <x v="3"/>
    <s v="Syrup"/>
    <s v="500 mg"/>
    <s v="10 ml"/>
    <n v="739"/>
    <s v="$48204"/>
    <x v="102"/>
    <x v="4"/>
    <x v="162"/>
    <x v="2"/>
    <x v="162"/>
    <n v="65.228687415426251"/>
    <m/>
  </r>
  <r>
    <x v="2"/>
    <x v="3"/>
    <s v="Capsule"/>
    <s v="10 mg"/>
    <s v="10 ml"/>
    <n v="1267"/>
    <s v="$19752"/>
    <x v="128"/>
    <x v="3"/>
    <x v="163"/>
    <x v="3"/>
    <x v="163"/>
    <n v="15.589581689029202"/>
    <m/>
  </r>
  <r>
    <x v="2"/>
    <x v="2"/>
    <s v="Tablet"/>
    <s v="250 mg"/>
    <n v="30"/>
    <n v="1834"/>
    <s v="$37074"/>
    <x v="129"/>
    <x v="2"/>
    <x v="164"/>
    <x v="3"/>
    <x v="164"/>
    <n v="20.214830970556161"/>
    <m/>
  </r>
  <r>
    <x v="3"/>
    <x v="3"/>
    <s v="Cream"/>
    <s v="250 mg"/>
    <s v="10 ml"/>
    <n v="667"/>
    <s v="$7794"/>
    <x v="130"/>
    <x v="1"/>
    <x v="165"/>
    <x v="1"/>
    <x v="165"/>
    <n v="11.685157421289356"/>
    <m/>
  </r>
  <r>
    <x v="4"/>
    <x v="4"/>
    <s v="Injection"/>
    <s v="10 mg"/>
    <n v="60"/>
    <n v="1360"/>
    <s v="$33904"/>
    <x v="131"/>
    <x v="1"/>
    <x v="166"/>
    <x v="2"/>
    <x v="166"/>
    <n v="24.929411764705883"/>
    <m/>
  </r>
  <r>
    <x v="1"/>
    <x v="1"/>
    <s v="Tablet"/>
    <s v="50 mg"/>
    <n v="60"/>
    <n v="1124"/>
    <s v="$15758"/>
    <x v="132"/>
    <x v="4"/>
    <x v="167"/>
    <x v="2"/>
    <x v="167"/>
    <n v="14.019572953736654"/>
    <m/>
  </r>
  <r>
    <x v="1"/>
    <x v="0"/>
    <s v="Tablet"/>
    <s v="250 mg"/>
    <n v="60"/>
    <n v="236"/>
    <s v="$46906"/>
    <x v="133"/>
    <x v="3"/>
    <x v="168"/>
    <x v="1"/>
    <x v="168"/>
    <n v="198.75423728813558"/>
    <m/>
  </r>
  <r>
    <x v="2"/>
    <x v="1"/>
    <s v="Tablet"/>
    <s v="50 mg"/>
    <n v="60"/>
    <n v="1134"/>
    <s v="$13081"/>
    <x v="75"/>
    <x v="1"/>
    <x v="169"/>
    <x v="0"/>
    <x v="169"/>
    <n v="11.535273368606703"/>
    <m/>
  </r>
  <r>
    <x v="2"/>
    <x v="4"/>
    <s v="Injection"/>
    <s v="250 mg"/>
    <s v="100 ml"/>
    <n v="1262"/>
    <s v="$23680"/>
    <x v="118"/>
    <x v="1"/>
    <x v="170"/>
    <x v="4"/>
    <x v="170"/>
    <n v="18.763866877971473"/>
    <m/>
  </r>
  <r>
    <x v="0"/>
    <x v="4"/>
    <s v="Capsule"/>
    <s v="100 mg/ml"/>
    <s v="10 ml"/>
    <n v="153"/>
    <s v="$19965"/>
    <x v="134"/>
    <x v="4"/>
    <x v="171"/>
    <x v="2"/>
    <x v="171"/>
    <n v="130.49019607843138"/>
    <m/>
  </r>
  <r>
    <x v="3"/>
    <x v="0"/>
    <s v="Injection"/>
    <s v="500 mg"/>
    <s v="50 g"/>
    <n v="1159"/>
    <s v="$49694"/>
    <x v="135"/>
    <x v="0"/>
    <x v="172"/>
    <x v="4"/>
    <x v="172"/>
    <n v="42.876617773943053"/>
    <m/>
  </r>
  <r>
    <x v="1"/>
    <x v="4"/>
    <s v="Injection"/>
    <s v="500 mg"/>
    <n v="30"/>
    <n v="575"/>
    <s v="$42355"/>
    <x v="136"/>
    <x v="0"/>
    <x v="173"/>
    <x v="2"/>
    <x v="173"/>
    <n v="73.660869565217396"/>
    <m/>
  </r>
  <r>
    <x v="3"/>
    <x v="1"/>
    <s v="Capsule"/>
    <s v="250 mg"/>
    <n v="60"/>
    <n v="189"/>
    <s v="$45637"/>
    <x v="137"/>
    <x v="1"/>
    <x v="174"/>
    <x v="2"/>
    <x v="174"/>
    <n v="241.46560846560845"/>
    <m/>
  </r>
  <r>
    <x v="1"/>
    <x v="0"/>
    <s v="Capsule"/>
    <s v="250 mg"/>
    <n v="60"/>
    <n v="1132"/>
    <s v="$46407"/>
    <x v="17"/>
    <x v="3"/>
    <x v="175"/>
    <x v="0"/>
    <x v="175"/>
    <n v="40.995583038869256"/>
    <m/>
  </r>
  <r>
    <x v="2"/>
    <x v="1"/>
    <s v="Injection"/>
    <s v="100 mg/ml"/>
    <s v="100 ml"/>
    <n v="411"/>
    <s v="$37320"/>
    <x v="92"/>
    <x v="4"/>
    <x v="176"/>
    <x v="0"/>
    <x v="176"/>
    <n v="90.802919708029194"/>
    <m/>
  </r>
  <r>
    <x v="4"/>
    <x v="4"/>
    <s v="Syrup"/>
    <s v="50 mg"/>
    <s v="100 ml"/>
    <n v="165"/>
    <s v="$26575"/>
    <x v="138"/>
    <x v="0"/>
    <x v="177"/>
    <x v="2"/>
    <x v="177"/>
    <n v="161.06060606060606"/>
    <m/>
  </r>
  <r>
    <x v="3"/>
    <x v="3"/>
    <s v="Injection"/>
    <s v="100 mg/ml"/>
    <s v="100 ml"/>
    <n v="1178"/>
    <s v="$33005"/>
    <x v="55"/>
    <x v="3"/>
    <x v="178"/>
    <x v="4"/>
    <x v="178"/>
    <n v="28.017826825127333"/>
    <m/>
  </r>
  <r>
    <x v="2"/>
    <x v="3"/>
    <s v="Tablet"/>
    <s v="100 mg/ml"/>
    <s v="100 ml"/>
    <n v="526"/>
    <s v="$43392"/>
    <x v="139"/>
    <x v="1"/>
    <x v="179"/>
    <x v="4"/>
    <x v="179"/>
    <n v="82.49429657794677"/>
    <m/>
  </r>
  <r>
    <x v="4"/>
    <x v="3"/>
    <s v="Syrup"/>
    <s v="250 mg"/>
    <s v="100 ml"/>
    <n v="1084"/>
    <s v="$34603"/>
    <x v="60"/>
    <x v="0"/>
    <x v="180"/>
    <x v="2"/>
    <x v="180"/>
    <n v="31.921586715867157"/>
    <m/>
  </r>
  <r>
    <x v="4"/>
    <x v="3"/>
    <s v="Capsule"/>
    <s v="50 mg"/>
    <s v="50 g"/>
    <n v="574"/>
    <s v="$27787"/>
    <x v="140"/>
    <x v="4"/>
    <x v="181"/>
    <x v="2"/>
    <x v="181"/>
    <n v="48.409407665505228"/>
    <m/>
  </r>
  <r>
    <x v="3"/>
    <x v="3"/>
    <s v="Tablet"/>
    <s v="100 mg/ml"/>
    <s v="100 ml"/>
    <n v="1915"/>
    <s v="$41152"/>
    <x v="65"/>
    <x v="4"/>
    <x v="182"/>
    <x v="3"/>
    <x v="182"/>
    <n v="21.489295039164492"/>
    <m/>
  </r>
  <r>
    <x v="1"/>
    <x v="2"/>
    <s v="Cream"/>
    <s v="50 mg"/>
    <s v="100 ml"/>
    <n v="686"/>
    <s v="$47207"/>
    <x v="141"/>
    <x v="0"/>
    <x v="183"/>
    <x v="1"/>
    <x v="183"/>
    <n v="68.814868804664727"/>
    <m/>
  </r>
  <r>
    <x v="2"/>
    <x v="2"/>
    <s v="Injection"/>
    <s v="100 mg/ml"/>
    <s v="10 ml"/>
    <n v="489"/>
    <s v="$31891"/>
    <x v="12"/>
    <x v="0"/>
    <x v="184"/>
    <x v="4"/>
    <x v="184"/>
    <n v="65.216768916155416"/>
    <m/>
  </r>
  <r>
    <x v="3"/>
    <x v="3"/>
    <s v="Syrup"/>
    <s v="500 mg"/>
    <n v="60"/>
    <n v="1995"/>
    <s v="$25257"/>
    <x v="142"/>
    <x v="0"/>
    <x v="185"/>
    <x v="2"/>
    <x v="185"/>
    <n v="12.66015037593985"/>
    <m/>
  </r>
  <r>
    <x v="1"/>
    <x v="1"/>
    <s v="Syrup"/>
    <s v="500 mg"/>
    <s v="100 ml"/>
    <n v="1454"/>
    <s v="$28319"/>
    <x v="143"/>
    <x v="2"/>
    <x v="186"/>
    <x v="0"/>
    <x v="186"/>
    <n v="19.476616231086659"/>
    <m/>
  </r>
  <r>
    <x v="2"/>
    <x v="0"/>
    <s v="Tablet"/>
    <s v="10 mg"/>
    <s v="10 ml"/>
    <n v="221"/>
    <s v="$20149"/>
    <x v="111"/>
    <x v="3"/>
    <x v="187"/>
    <x v="2"/>
    <x v="187"/>
    <n v="91.171945701357473"/>
    <m/>
  </r>
  <r>
    <x v="0"/>
    <x v="0"/>
    <s v="Tablet"/>
    <s v="100 mg/ml"/>
    <s v="100 ml"/>
    <n v="449"/>
    <s v="$20979"/>
    <x v="17"/>
    <x v="3"/>
    <x v="188"/>
    <x v="2"/>
    <x v="188"/>
    <n v="46.72383073496659"/>
    <m/>
  </r>
  <r>
    <x v="0"/>
    <x v="4"/>
    <s v="Injection"/>
    <s v="500 mg"/>
    <n v="60"/>
    <n v="1180"/>
    <s v="$24090"/>
    <x v="144"/>
    <x v="0"/>
    <x v="189"/>
    <x v="4"/>
    <x v="189"/>
    <n v="20.415254237288135"/>
    <m/>
  </r>
  <r>
    <x v="3"/>
    <x v="0"/>
    <s v="Tablet"/>
    <s v="50 mg"/>
    <n v="30"/>
    <n v="898"/>
    <s v="$10545"/>
    <x v="47"/>
    <x v="2"/>
    <x v="190"/>
    <x v="2"/>
    <x v="190"/>
    <n v="11.742761692650333"/>
    <m/>
  </r>
  <r>
    <x v="3"/>
    <x v="0"/>
    <s v="Cream"/>
    <s v="10 mg"/>
    <n v="60"/>
    <n v="967"/>
    <s v="$37020"/>
    <x v="145"/>
    <x v="2"/>
    <x v="191"/>
    <x v="4"/>
    <x v="191"/>
    <n v="38.283350568769393"/>
    <m/>
  </r>
  <r>
    <x v="3"/>
    <x v="0"/>
    <s v="Injection"/>
    <s v="50 mg"/>
    <n v="60"/>
    <n v="909"/>
    <s v="$12714"/>
    <x v="146"/>
    <x v="1"/>
    <x v="192"/>
    <x v="3"/>
    <x v="192"/>
    <n v="13.986798679867986"/>
    <m/>
  </r>
  <r>
    <x v="3"/>
    <x v="4"/>
    <s v="Capsule"/>
    <s v="100 mg/ml"/>
    <s v="100 ml"/>
    <n v="654"/>
    <s v="$8859"/>
    <x v="147"/>
    <x v="2"/>
    <x v="193"/>
    <x v="1"/>
    <x v="193"/>
    <n v="13.545871559633028"/>
    <m/>
  </r>
  <r>
    <x v="2"/>
    <x v="2"/>
    <s v="Injection"/>
    <s v="500 mg"/>
    <n v="30"/>
    <n v="883"/>
    <s v="$14721"/>
    <x v="148"/>
    <x v="0"/>
    <x v="194"/>
    <x v="0"/>
    <x v="194"/>
    <n v="16.671574178935447"/>
    <m/>
  </r>
  <r>
    <x v="0"/>
    <x v="0"/>
    <s v="Cream"/>
    <s v="100 mg/ml"/>
    <s v="100 ml"/>
    <n v="565"/>
    <s v="$4821"/>
    <x v="149"/>
    <x v="3"/>
    <x v="195"/>
    <x v="0"/>
    <x v="195"/>
    <n v="8.5327433628318587"/>
    <m/>
  </r>
  <r>
    <x v="0"/>
    <x v="2"/>
    <s v="Capsule"/>
    <s v="250 mg"/>
    <s v="50 g"/>
    <n v="933"/>
    <s v="$26268"/>
    <x v="150"/>
    <x v="4"/>
    <x v="196"/>
    <x v="1"/>
    <x v="196"/>
    <n v="28.15434083601286"/>
    <m/>
  </r>
  <r>
    <x v="2"/>
    <x v="0"/>
    <s v="Injection"/>
    <s v="100 mg/ml"/>
    <s v="10 ml"/>
    <n v="1793"/>
    <s v="$12451"/>
    <x v="151"/>
    <x v="1"/>
    <x v="197"/>
    <x v="3"/>
    <x v="197"/>
    <n v="6.9442275515895151"/>
    <m/>
  </r>
  <r>
    <x v="1"/>
    <x v="2"/>
    <s v="Syrup"/>
    <s v="500 mg"/>
    <s v="100 ml"/>
    <n v="697"/>
    <s v="$19171"/>
    <x v="152"/>
    <x v="2"/>
    <x v="198"/>
    <x v="2"/>
    <x v="198"/>
    <n v="27.505021520803442"/>
    <m/>
  </r>
  <r>
    <x v="4"/>
    <x v="2"/>
    <s v="Cream"/>
    <s v="250 mg"/>
    <n v="30"/>
    <n v="379"/>
    <s v="$45953"/>
    <x v="132"/>
    <x v="2"/>
    <x v="199"/>
    <x v="4"/>
    <x v="199"/>
    <n v="121.24802110817942"/>
    <m/>
  </r>
  <r>
    <x v="4"/>
    <x v="3"/>
    <s v="Injection"/>
    <s v="10 mg"/>
    <n v="60"/>
    <n v="1640"/>
    <s v="$18487"/>
    <x v="153"/>
    <x v="0"/>
    <x v="200"/>
    <x v="0"/>
    <x v="200"/>
    <n v="11.272560975609757"/>
    <m/>
  </r>
  <r>
    <x v="2"/>
    <x v="1"/>
    <s v="Syrup"/>
    <s v="500 mg"/>
    <s v="10 ml"/>
    <n v="244"/>
    <s v="$29056"/>
    <x v="34"/>
    <x v="2"/>
    <x v="201"/>
    <x v="4"/>
    <x v="201"/>
    <n v="119.08196721311475"/>
    <m/>
  </r>
  <r>
    <x v="2"/>
    <x v="4"/>
    <s v="Tablet"/>
    <s v="10 mg"/>
    <n v="60"/>
    <n v="482"/>
    <s v="$4566"/>
    <x v="154"/>
    <x v="2"/>
    <x v="202"/>
    <x v="3"/>
    <x v="202"/>
    <n v="9.4730290456431536"/>
    <m/>
  </r>
  <r>
    <x v="0"/>
    <x v="3"/>
    <s v="Injection"/>
    <s v="500 mg"/>
    <n v="60"/>
    <n v="982"/>
    <s v="$5040"/>
    <x v="6"/>
    <x v="2"/>
    <x v="203"/>
    <x v="1"/>
    <x v="203"/>
    <n v="5.1323828920570262"/>
    <m/>
  </r>
  <r>
    <x v="4"/>
    <x v="1"/>
    <s v="Tablet"/>
    <s v="100 mg/ml"/>
    <s v="100 ml"/>
    <n v="401"/>
    <s v="$33003"/>
    <x v="155"/>
    <x v="2"/>
    <x v="204"/>
    <x v="1"/>
    <x v="204"/>
    <n v="82.301745635910223"/>
    <m/>
  </r>
  <r>
    <x v="2"/>
    <x v="1"/>
    <s v="Capsule"/>
    <s v="100 mg/ml"/>
    <n v="60"/>
    <n v="1315"/>
    <s v="$13838"/>
    <x v="0"/>
    <x v="0"/>
    <x v="205"/>
    <x v="0"/>
    <x v="205"/>
    <n v="10.523193916349809"/>
    <m/>
  </r>
  <r>
    <x v="0"/>
    <x v="0"/>
    <s v="Capsule"/>
    <s v="500 mg"/>
    <s v="10 ml"/>
    <n v="1986"/>
    <s v="$21856"/>
    <x v="156"/>
    <x v="0"/>
    <x v="206"/>
    <x v="2"/>
    <x v="206"/>
    <n v="11.00503524672709"/>
    <m/>
  </r>
  <r>
    <x v="3"/>
    <x v="0"/>
    <s v="Cream"/>
    <s v="10 mg"/>
    <s v="100 ml"/>
    <n v="626"/>
    <s v="$41156"/>
    <x v="142"/>
    <x v="4"/>
    <x v="207"/>
    <x v="2"/>
    <x v="207"/>
    <n v="65.744408945686899"/>
    <m/>
  </r>
  <r>
    <x v="4"/>
    <x v="2"/>
    <s v="Tablet"/>
    <s v="50 mg"/>
    <n v="30"/>
    <n v="817"/>
    <s v="$41978"/>
    <x v="157"/>
    <x v="3"/>
    <x v="208"/>
    <x v="0"/>
    <x v="208"/>
    <n v="51.380660954712361"/>
    <m/>
  </r>
  <r>
    <x v="3"/>
    <x v="0"/>
    <s v="Syrup"/>
    <s v="50 mg"/>
    <s v="10 ml"/>
    <n v="1540"/>
    <s v="$46616"/>
    <x v="158"/>
    <x v="3"/>
    <x v="209"/>
    <x v="0"/>
    <x v="209"/>
    <n v="30.270129870129871"/>
    <m/>
  </r>
  <r>
    <x v="0"/>
    <x v="3"/>
    <s v="Cream"/>
    <s v="50 mg"/>
    <n v="60"/>
    <n v="1352"/>
    <s v="$9133"/>
    <x v="159"/>
    <x v="1"/>
    <x v="210"/>
    <x v="4"/>
    <x v="210"/>
    <n v="6.7551775147928996"/>
    <m/>
  </r>
  <r>
    <x v="2"/>
    <x v="1"/>
    <s v="Injection"/>
    <s v="100 mg/ml"/>
    <s v="10 ml"/>
    <n v="428"/>
    <s v="$26054"/>
    <x v="160"/>
    <x v="2"/>
    <x v="211"/>
    <x v="2"/>
    <x v="211"/>
    <n v="60.873831775700936"/>
    <m/>
  </r>
  <r>
    <x v="4"/>
    <x v="4"/>
    <s v="Injection"/>
    <s v="250 mg"/>
    <n v="60"/>
    <n v="1934"/>
    <s v="$41356"/>
    <x v="161"/>
    <x v="0"/>
    <x v="212"/>
    <x v="1"/>
    <x v="212"/>
    <n v="21.383660806618408"/>
    <m/>
  </r>
  <r>
    <x v="2"/>
    <x v="4"/>
    <s v="Capsule"/>
    <s v="10 mg"/>
    <s v="50 g"/>
    <n v="1826"/>
    <s v="$2719"/>
    <x v="162"/>
    <x v="0"/>
    <x v="213"/>
    <x v="4"/>
    <x v="213"/>
    <n v="1.4890470974808325"/>
    <m/>
  </r>
  <r>
    <x v="1"/>
    <x v="4"/>
    <s v="Tablet"/>
    <s v="50 mg"/>
    <s v="10 ml"/>
    <n v="594"/>
    <s v="$11887"/>
    <x v="163"/>
    <x v="1"/>
    <x v="214"/>
    <x v="3"/>
    <x v="214"/>
    <n v="20.011784511784512"/>
    <m/>
  </r>
  <r>
    <x v="4"/>
    <x v="0"/>
    <s v="Injection"/>
    <s v="250 mg"/>
    <s v="50 g"/>
    <n v="105"/>
    <s v="$36153"/>
    <x v="96"/>
    <x v="3"/>
    <x v="215"/>
    <x v="2"/>
    <x v="215"/>
    <n v="344.31428571428569"/>
    <m/>
  </r>
  <r>
    <x v="2"/>
    <x v="0"/>
    <s v="Tablet"/>
    <s v="250 mg"/>
    <s v="50 g"/>
    <n v="1169"/>
    <s v="$21685"/>
    <x v="164"/>
    <x v="0"/>
    <x v="216"/>
    <x v="0"/>
    <x v="216"/>
    <n v="18.550042771599657"/>
    <m/>
  </r>
  <r>
    <x v="3"/>
    <x v="4"/>
    <s v="Tablet"/>
    <s v="500 mg"/>
    <n v="30"/>
    <n v="1463"/>
    <s v="$49601"/>
    <x v="165"/>
    <x v="1"/>
    <x v="217"/>
    <x v="4"/>
    <x v="217"/>
    <n v="33.903622693096381"/>
    <m/>
  </r>
  <r>
    <x v="2"/>
    <x v="0"/>
    <s v="Tablet"/>
    <s v="250 mg"/>
    <s v="50 g"/>
    <n v="1091"/>
    <s v="$15021"/>
    <x v="2"/>
    <x v="4"/>
    <x v="218"/>
    <x v="1"/>
    <x v="218"/>
    <n v="13.768102658111824"/>
    <m/>
  </r>
  <r>
    <x v="2"/>
    <x v="4"/>
    <s v="Injection"/>
    <s v="50 mg"/>
    <s v="10 ml"/>
    <n v="230"/>
    <s v="$15353"/>
    <x v="166"/>
    <x v="2"/>
    <x v="219"/>
    <x v="4"/>
    <x v="219"/>
    <n v="66.752173913043478"/>
    <m/>
  </r>
  <r>
    <x v="1"/>
    <x v="1"/>
    <s v="Cream"/>
    <s v="500 mg"/>
    <n v="30"/>
    <n v="1603"/>
    <s v="$46470"/>
    <x v="119"/>
    <x v="1"/>
    <x v="220"/>
    <x v="4"/>
    <x v="220"/>
    <n v="28.989394884591391"/>
    <m/>
  </r>
  <r>
    <x v="2"/>
    <x v="3"/>
    <s v="Capsule"/>
    <s v="100 mg/ml"/>
    <n v="60"/>
    <n v="522"/>
    <s v="$32783"/>
    <x v="79"/>
    <x v="1"/>
    <x v="221"/>
    <x v="4"/>
    <x v="221"/>
    <n v="62.802681992337163"/>
    <m/>
  </r>
  <r>
    <x v="3"/>
    <x v="0"/>
    <s v="Cream"/>
    <s v="50 mg"/>
    <s v="100 ml"/>
    <n v="302"/>
    <s v="$9722"/>
    <x v="105"/>
    <x v="3"/>
    <x v="222"/>
    <x v="3"/>
    <x v="222"/>
    <n v="32.192052980132452"/>
    <m/>
  </r>
  <r>
    <x v="1"/>
    <x v="2"/>
    <s v="Tablet"/>
    <s v="250 mg"/>
    <s v="10 ml"/>
    <n v="664"/>
    <s v="$32835"/>
    <x v="167"/>
    <x v="4"/>
    <x v="223"/>
    <x v="2"/>
    <x v="223"/>
    <n v="49.450301204819276"/>
    <m/>
  </r>
  <r>
    <x v="0"/>
    <x v="2"/>
    <s v="Tablet"/>
    <s v="500 mg"/>
    <n v="60"/>
    <n v="1701"/>
    <s v="$36720"/>
    <x v="168"/>
    <x v="2"/>
    <x v="224"/>
    <x v="4"/>
    <x v="224"/>
    <n v="21.587301587301589"/>
    <m/>
  </r>
  <r>
    <x v="0"/>
    <x v="0"/>
    <s v="Capsule"/>
    <s v="500 mg"/>
    <n v="30"/>
    <n v="1048"/>
    <s v="$1486"/>
    <x v="169"/>
    <x v="1"/>
    <x v="225"/>
    <x v="4"/>
    <x v="225"/>
    <n v="1.41793893129771"/>
    <m/>
  </r>
  <r>
    <x v="4"/>
    <x v="3"/>
    <s v="Tablet"/>
    <s v="250 mg"/>
    <s v="10 ml"/>
    <n v="1570"/>
    <s v="$17354"/>
    <x v="170"/>
    <x v="1"/>
    <x v="226"/>
    <x v="1"/>
    <x v="226"/>
    <n v="11.053503184713376"/>
    <m/>
  </r>
  <r>
    <x v="4"/>
    <x v="1"/>
    <s v="Tablet"/>
    <s v="500 mg"/>
    <n v="30"/>
    <n v="109"/>
    <s v="$17302"/>
    <x v="171"/>
    <x v="1"/>
    <x v="227"/>
    <x v="4"/>
    <x v="227"/>
    <n v="158.73394495412845"/>
    <m/>
  </r>
  <r>
    <x v="4"/>
    <x v="4"/>
    <s v="Capsule"/>
    <s v="100 mg/ml"/>
    <s v="10 ml"/>
    <n v="141"/>
    <s v="$19153"/>
    <x v="172"/>
    <x v="3"/>
    <x v="228"/>
    <x v="4"/>
    <x v="228"/>
    <n v="135.8368794326241"/>
    <m/>
  </r>
  <r>
    <x v="0"/>
    <x v="1"/>
    <s v="Cream"/>
    <s v="10 mg"/>
    <n v="60"/>
    <n v="1239"/>
    <s v="$36616"/>
    <x v="162"/>
    <x v="1"/>
    <x v="229"/>
    <x v="0"/>
    <x v="229"/>
    <n v="29.552865213882164"/>
    <m/>
  </r>
  <r>
    <x v="4"/>
    <x v="1"/>
    <s v="Tablet"/>
    <s v="50 mg"/>
    <n v="60"/>
    <n v="1499"/>
    <s v="$4766"/>
    <x v="173"/>
    <x v="1"/>
    <x v="230"/>
    <x v="3"/>
    <x v="230"/>
    <n v="3.179452968645764"/>
    <m/>
  </r>
  <r>
    <x v="4"/>
    <x v="1"/>
    <s v="Tablet"/>
    <s v="10 mg"/>
    <n v="60"/>
    <n v="1869"/>
    <s v="$25748"/>
    <x v="174"/>
    <x v="0"/>
    <x v="231"/>
    <x v="3"/>
    <x v="231"/>
    <n v="13.776350989834135"/>
    <m/>
  </r>
  <r>
    <x v="2"/>
    <x v="0"/>
    <s v="Syrup"/>
    <s v="100 mg/ml"/>
    <n v="30"/>
    <n v="1355"/>
    <s v="$27880"/>
    <x v="175"/>
    <x v="0"/>
    <x v="232"/>
    <x v="0"/>
    <x v="232"/>
    <n v="20.575645756457565"/>
    <m/>
  </r>
  <r>
    <x v="2"/>
    <x v="2"/>
    <s v="Capsule"/>
    <s v="100 mg/ml"/>
    <n v="30"/>
    <n v="1173"/>
    <s v="$8649"/>
    <x v="110"/>
    <x v="0"/>
    <x v="233"/>
    <x v="3"/>
    <x v="233"/>
    <n v="7.3734015345268542"/>
    <m/>
  </r>
  <r>
    <x v="4"/>
    <x v="4"/>
    <s v="Syrup"/>
    <s v="10 mg"/>
    <n v="60"/>
    <n v="828"/>
    <s v="$30214"/>
    <x v="176"/>
    <x v="4"/>
    <x v="234"/>
    <x v="2"/>
    <x v="234"/>
    <n v="36.490338164251206"/>
    <m/>
  </r>
  <r>
    <x v="2"/>
    <x v="0"/>
    <s v="Syrup"/>
    <s v="100 mg/ml"/>
    <n v="30"/>
    <n v="453"/>
    <s v="$10749"/>
    <x v="177"/>
    <x v="3"/>
    <x v="235"/>
    <x v="4"/>
    <x v="235"/>
    <n v="23.728476821192054"/>
    <m/>
  </r>
  <r>
    <x v="2"/>
    <x v="3"/>
    <s v="Injection"/>
    <s v="250 mg"/>
    <s v="50 g"/>
    <n v="132"/>
    <s v="$17487"/>
    <x v="178"/>
    <x v="2"/>
    <x v="236"/>
    <x v="4"/>
    <x v="236"/>
    <n v="132.47727272727272"/>
    <m/>
  </r>
  <r>
    <x v="3"/>
    <x v="0"/>
    <s v="Cream"/>
    <s v="100 mg/ml"/>
    <s v="100 ml"/>
    <n v="620"/>
    <s v="$32593"/>
    <x v="132"/>
    <x v="2"/>
    <x v="237"/>
    <x v="1"/>
    <x v="237"/>
    <n v="52.569354838709678"/>
    <m/>
  </r>
  <r>
    <x v="1"/>
    <x v="1"/>
    <s v="Tablet"/>
    <s v="10 mg"/>
    <s v="50 g"/>
    <n v="1423"/>
    <s v="$21911"/>
    <x v="126"/>
    <x v="1"/>
    <x v="238"/>
    <x v="1"/>
    <x v="238"/>
    <n v="15.397751229796205"/>
    <m/>
  </r>
  <r>
    <x v="0"/>
    <x v="4"/>
    <s v="Cream"/>
    <s v="500 mg"/>
    <s v="50 g"/>
    <n v="1308"/>
    <s v="$16623"/>
    <x v="96"/>
    <x v="0"/>
    <x v="239"/>
    <x v="0"/>
    <x v="239"/>
    <n v="12.708715596330276"/>
    <m/>
  </r>
  <r>
    <x v="1"/>
    <x v="3"/>
    <s v="Injection"/>
    <s v="500 mg"/>
    <n v="60"/>
    <n v="460"/>
    <s v="$29993"/>
    <x v="88"/>
    <x v="1"/>
    <x v="240"/>
    <x v="2"/>
    <x v="240"/>
    <n v="65.202173913043481"/>
    <m/>
  </r>
  <r>
    <x v="0"/>
    <x v="4"/>
    <s v="Injection"/>
    <s v="50 mg"/>
    <s v="10 ml"/>
    <n v="1598"/>
    <s v="$43114"/>
    <x v="179"/>
    <x v="4"/>
    <x v="241"/>
    <x v="3"/>
    <x v="241"/>
    <n v="26.979974968710888"/>
    <m/>
  </r>
  <r>
    <x v="1"/>
    <x v="0"/>
    <s v="Tablet"/>
    <s v="100 mg/ml"/>
    <s v="50 g"/>
    <n v="978"/>
    <s v="$46578"/>
    <x v="59"/>
    <x v="3"/>
    <x v="242"/>
    <x v="1"/>
    <x v="242"/>
    <n v="47.625766871165645"/>
    <m/>
  </r>
  <r>
    <x v="0"/>
    <x v="4"/>
    <s v="Tablet"/>
    <s v="50 mg"/>
    <s v="100 ml"/>
    <n v="1484"/>
    <s v="$15499"/>
    <x v="180"/>
    <x v="4"/>
    <x v="243"/>
    <x v="2"/>
    <x v="243"/>
    <n v="10.444070080862534"/>
    <m/>
  </r>
  <r>
    <x v="3"/>
    <x v="2"/>
    <s v="Cream"/>
    <s v="500 mg"/>
    <s v="100 ml"/>
    <n v="1807"/>
    <s v="$37740"/>
    <x v="181"/>
    <x v="0"/>
    <x v="244"/>
    <x v="0"/>
    <x v="244"/>
    <n v="20.885445489762038"/>
    <m/>
  </r>
  <r>
    <x v="4"/>
    <x v="4"/>
    <s v="Tablet"/>
    <s v="100 mg/ml"/>
    <s v="50 g"/>
    <n v="1197"/>
    <s v="$36217"/>
    <x v="182"/>
    <x v="0"/>
    <x v="245"/>
    <x v="3"/>
    <x v="245"/>
    <n v="30.256474519632416"/>
    <m/>
  </r>
  <r>
    <x v="3"/>
    <x v="1"/>
    <s v="Injection"/>
    <s v="100 mg/ml"/>
    <n v="30"/>
    <n v="1169"/>
    <s v="$33004"/>
    <x v="183"/>
    <x v="0"/>
    <x v="246"/>
    <x v="3"/>
    <x v="246"/>
    <n v="28.232677502138579"/>
    <m/>
  </r>
  <r>
    <x v="2"/>
    <x v="1"/>
    <s v="Syrup"/>
    <s v="10 mg"/>
    <s v="10 ml"/>
    <n v="1713"/>
    <s v="$30761"/>
    <x v="22"/>
    <x v="4"/>
    <x v="247"/>
    <x v="3"/>
    <x v="247"/>
    <n v="17.957384705195562"/>
    <m/>
  </r>
  <r>
    <x v="4"/>
    <x v="1"/>
    <s v="Injection"/>
    <s v="500 mg"/>
    <s v="100 ml"/>
    <n v="1245"/>
    <s v="$32469"/>
    <x v="184"/>
    <x v="1"/>
    <x v="248"/>
    <x v="2"/>
    <x v="248"/>
    <n v="26.079518072289158"/>
    <m/>
  </r>
  <r>
    <x v="0"/>
    <x v="1"/>
    <s v="Injection"/>
    <s v="10 mg"/>
    <s v="50 g"/>
    <n v="454"/>
    <s v="$37133"/>
    <x v="185"/>
    <x v="3"/>
    <x v="249"/>
    <x v="3"/>
    <x v="249"/>
    <n v="81.790748898678416"/>
    <m/>
  </r>
  <r>
    <x v="2"/>
    <x v="3"/>
    <s v="Cream"/>
    <s v="10 mg"/>
    <n v="30"/>
    <n v="1550"/>
    <s v="$45767"/>
    <x v="186"/>
    <x v="4"/>
    <x v="250"/>
    <x v="3"/>
    <x v="250"/>
    <n v="29.527096774193549"/>
    <m/>
  </r>
  <r>
    <x v="4"/>
    <x v="2"/>
    <s v="Syrup"/>
    <s v="50 mg"/>
    <s v="100 ml"/>
    <n v="1488"/>
    <s v="$19770"/>
    <x v="187"/>
    <x v="4"/>
    <x v="251"/>
    <x v="3"/>
    <x v="251"/>
    <n v="13.286290322580646"/>
    <m/>
  </r>
  <r>
    <x v="0"/>
    <x v="2"/>
    <s v="Syrup"/>
    <s v="250 mg"/>
    <n v="30"/>
    <n v="1207"/>
    <s v="$29546"/>
    <x v="10"/>
    <x v="3"/>
    <x v="252"/>
    <x v="2"/>
    <x v="252"/>
    <n v="24.47887323943662"/>
    <m/>
  </r>
  <r>
    <x v="1"/>
    <x v="0"/>
    <s v="Injection"/>
    <s v="500 mg"/>
    <n v="30"/>
    <n v="751"/>
    <s v="$46620"/>
    <x v="188"/>
    <x v="3"/>
    <x v="253"/>
    <x v="0"/>
    <x v="253"/>
    <n v="62.077230359520641"/>
    <m/>
  </r>
  <r>
    <x v="3"/>
    <x v="2"/>
    <s v="Injection"/>
    <s v="100 mg/ml"/>
    <n v="60"/>
    <n v="1388"/>
    <s v="$44954"/>
    <x v="189"/>
    <x v="1"/>
    <x v="254"/>
    <x v="0"/>
    <x v="254"/>
    <n v="32.387608069164266"/>
    <m/>
  </r>
  <r>
    <x v="4"/>
    <x v="1"/>
    <s v="Tablet"/>
    <s v="100 mg/ml"/>
    <s v="100 ml"/>
    <n v="712"/>
    <s v="$24140"/>
    <x v="65"/>
    <x v="1"/>
    <x v="255"/>
    <x v="1"/>
    <x v="255"/>
    <n v="33.90449438202247"/>
    <m/>
  </r>
  <r>
    <x v="3"/>
    <x v="3"/>
    <s v="Tablet"/>
    <s v="500 mg"/>
    <s v="100 ml"/>
    <n v="1428"/>
    <s v="$1848"/>
    <x v="190"/>
    <x v="2"/>
    <x v="256"/>
    <x v="1"/>
    <x v="256"/>
    <n v="1.2941176470588236"/>
    <m/>
  </r>
  <r>
    <x v="0"/>
    <x v="3"/>
    <s v="Injection"/>
    <s v="250 mg"/>
    <s v="100 ml"/>
    <n v="1437"/>
    <s v="$1329"/>
    <x v="191"/>
    <x v="0"/>
    <x v="257"/>
    <x v="1"/>
    <x v="257"/>
    <n v="0.92484342379958251"/>
    <m/>
  </r>
  <r>
    <x v="1"/>
    <x v="4"/>
    <s v="Syrup"/>
    <s v="50 mg"/>
    <n v="60"/>
    <n v="818"/>
    <s v="$34522"/>
    <x v="192"/>
    <x v="3"/>
    <x v="258"/>
    <x v="0"/>
    <x v="258"/>
    <n v="42.202933985330077"/>
    <m/>
  </r>
  <r>
    <x v="4"/>
    <x v="3"/>
    <s v="Tablet"/>
    <s v="10 mg"/>
    <n v="30"/>
    <n v="1094"/>
    <s v="$34972"/>
    <x v="193"/>
    <x v="3"/>
    <x v="259"/>
    <x v="3"/>
    <x v="259"/>
    <n v="31.967093235831811"/>
    <m/>
  </r>
  <r>
    <x v="2"/>
    <x v="0"/>
    <s v="Capsule"/>
    <s v="50 mg"/>
    <n v="60"/>
    <n v="1882"/>
    <s v="$1492"/>
    <x v="194"/>
    <x v="0"/>
    <x v="260"/>
    <x v="1"/>
    <x v="260"/>
    <n v="0.7927736450584485"/>
    <m/>
  </r>
  <r>
    <x v="4"/>
    <x v="2"/>
    <s v="Tablet"/>
    <s v="250 mg"/>
    <s v="10 ml"/>
    <n v="1247"/>
    <s v="$40432"/>
    <x v="195"/>
    <x v="3"/>
    <x v="261"/>
    <x v="1"/>
    <x v="261"/>
    <n v="32.423416198877305"/>
    <m/>
  </r>
  <r>
    <x v="2"/>
    <x v="3"/>
    <s v="Capsule"/>
    <s v="500 mg"/>
    <s v="100 ml"/>
    <n v="1989"/>
    <s v="$14261"/>
    <x v="196"/>
    <x v="4"/>
    <x v="262"/>
    <x v="1"/>
    <x v="262"/>
    <n v="7.1699346405228761"/>
    <m/>
  </r>
  <r>
    <x v="3"/>
    <x v="1"/>
    <s v="Cream"/>
    <s v="50 mg"/>
    <s v="100 ml"/>
    <n v="1725"/>
    <s v="$26182"/>
    <x v="65"/>
    <x v="0"/>
    <x v="263"/>
    <x v="3"/>
    <x v="263"/>
    <n v="15.177971014492753"/>
    <m/>
  </r>
  <r>
    <x v="1"/>
    <x v="2"/>
    <s v="Cream"/>
    <s v="50 mg"/>
    <s v="50 g"/>
    <n v="815"/>
    <s v="$33782"/>
    <x v="153"/>
    <x v="2"/>
    <x v="264"/>
    <x v="2"/>
    <x v="264"/>
    <n v="41.450306748466261"/>
    <m/>
  </r>
  <r>
    <x v="4"/>
    <x v="0"/>
    <s v="Syrup"/>
    <s v="250 mg"/>
    <n v="60"/>
    <n v="135"/>
    <s v="$40651"/>
    <x v="197"/>
    <x v="3"/>
    <x v="265"/>
    <x v="0"/>
    <x v="265"/>
    <n v="301.1185185185185"/>
    <m/>
  </r>
  <r>
    <x v="3"/>
    <x v="1"/>
    <s v="Syrup"/>
    <s v="500 mg"/>
    <n v="30"/>
    <n v="1664"/>
    <s v="$25573"/>
    <x v="198"/>
    <x v="0"/>
    <x v="266"/>
    <x v="3"/>
    <x v="266"/>
    <n v="15.368389423076923"/>
    <m/>
  </r>
  <r>
    <x v="4"/>
    <x v="2"/>
    <s v="Syrup"/>
    <s v="50 mg"/>
    <s v="50 g"/>
    <n v="1402"/>
    <s v="$31956"/>
    <x v="199"/>
    <x v="2"/>
    <x v="267"/>
    <x v="0"/>
    <x v="267"/>
    <n v="22.793152639087019"/>
    <m/>
  </r>
  <r>
    <x v="0"/>
    <x v="1"/>
    <s v="Capsule"/>
    <s v="250 mg"/>
    <s v="10 ml"/>
    <n v="153"/>
    <s v="$30983"/>
    <x v="34"/>
    <x v="1"/>
    <x v="268"/>
    <x v="2"/>
    <x v="268"/>
    <n v="202.5032679738562"/>
    <m/>
  </r>
  <r>
    <x v="0"/>
    <x v="1"/>
    <s v="Tablet"/>
    <s v="250 mg"/>
    <n v="60"/>
    <n v="399"/>
    <s v="$21160"/>
    <x v="200"/>
    <x v="3"/>
    <x v="269"/>
    <x v="1"/>
    <x v="269"/>
    <n v="53.032581453634087"/>
    <m/>
  </r>
  <r>
    <x v="2"/>
    <x v="1"/>
    <s v="Cream"/>
    <s v="100 mg/ml"/>
    <s v="50 g"/>
    <n v="314"/>
    <s v="$43409"/>
    <x v="195"/>
    <x v="4"/>
    <x v="270"/>
    <x v="2"/>
    <x v="270"/>
    <n v="138.24522292993632"/>
    <m/>
  </r>
  <r>
    <x v="4"/>
    <x v="2"/>
    <s v="Cream"/>
    <s v="100 mg/ml"/>
    <n v="60"/>
    <n v="504"/>
    <s v="$46392"/>
    <x v="201"/>
    <x v="0"/>
    <x v="271"/>
    <x v="2"/>
    <x v="271"/>
    <n v="92.047619047619051"/>
    <m/>
  </r>
  <r>
    <x v="0"/>
    <x v="0"/>
    <s v="Injection"/>
    <s v="250 mg"/>
    <n v="30"/>
    <n v="214"/>
    <s v="$10257"/>
    <x v="114"/>
    <x v="2"/>
    <x v="272"/>
    <x v="1"/>
    <x v="272"/>
    <n v="47.929906542056074"/>
    <m/>
  </r>
  <r>
    <x v="4"/>
    <x v="2"/>
    <s v="Capsule"/>
    <s v="10 mg"/>
    <s v="100 ml"/>
    <n v="1738"/>
    <s v="$17663"/>
    <x v="202"/>
    <x v="2"/>
    <x v="273"/>
    <x v="2"/>
    <x v="273"/>
    <n v="10.162830840046031"/>
    <m/>
  </r>
  <r>
    <x v="0"/>
    <x v="2"/>
    <s v="Injection"/>
    <s v="100 mg/ml"/>
    <n v="30"/>
    <n v="167"/>
    <s v="$4175"/>
    <x v="203"/>
    <x v="4"/>
    <x v="274"/>
    <x v="0"/>
    <x v="274"/>
    <n v="25"/>
    <m/>
  </r>
  <r>
    <x v="3"/>
    <x v="1"/>
    <s v="Syrup"/>
    <s v="500 mg"/>
    <n v="30"/>
    <n v="1696"/>
    <s v="$26976"/>
    <x v="204"/>
    <x v="0"/>
    <x v="275"/>
    <x v="2"/>
    <x v="275"/>
    <n v="15.90566037735849"/>
    <m/>
  </r>
  <r>
    <x v="0"/>
    <x v="1"/>
    <s v="Cream"/>
    <s v="10 mg"/>
    <s v="10 ml"/>
    <n v="1216"/>
    <s v="$32615"/>
    <x v="205"/>
    <x v="0"/>
    <x v="276"/>
    <x v="1"/>
    <x v="276"/>
    <n v="26.821546052631579"/>
    <m/>
  </r>
  <r>
    <x v="2"/>
    <x v="2"/>
    <s v="Capsule"/>
    <s v="10 mg"/>
    <s v="10 ml"/>
    <n v="599"/>
    <s v="$1411"/>
    <x v="25"/>
    <x v="4"/>
    <x v="277"/>
    <x v="3"/>
    <x v="277"/>
    <n v="2.35559265442404"/>
    <m/>
  </r>
  <r>
    <x v="4"/>
    <x v="0"/>
    <s v="Cream"/>
    <s v="250 mg"/>
    <n v="30"/>
    <n v="609"/>
    <s v="$25953"/>
    <x v="102"/>
    <x v="4"/>
    <x v="278"/>
    <x v="2"/>
    <x v="278"/>
    <n v="42.615763546798028"/>
    <m/>
  </r>
  <r>
    <x v="0"/>
    <x v="2"/>
    <s v="Syrup"/>
    <s v="50 mg"/>
    <s v="10 ml"/>
    <n v="1199"/>
    <s v="$4779"/>
    <x v="206"/>
    <x v="0"/>
    <x v="279"/>
    <x v="0"/>
    <x v="279"/>
    <n v="3.9858215179316097"/>
    <m/>
  </r>
  <r>
    <x v="1"/>
    <x v="4"/>
    <s v="Syrup"/>
    <s v="50 mg"/>
    <s v="50 g"/>
    <n v="1238"/>
    <s v="$30313"/>
    <x v="81"/>
    <x v="0"/>
    <x v="280"/>
    <x v="1"/>
    <x v="280"/>
    <n v="24.485460420032311"/>
    <m/>
  </r>
  <r>
    <x v="0"/>
    <x v="1"/>
    <s v="Cream"/>
    <s v="10 mg"/>
    <n v="60"/>
    <n v="354"/>
    <s v="$11544"/>
    <x v="176"/>
    <x v="0"/>
    <x v="281"/>
    <x v="2"/>
    <x v="281"/>
    <n v="32.610169491525426"/>
    <m/>
  </r>
  <r>
    <x v="4"/>
    <x v="2"/>
    <s v="Cream"/>
    <s v="50 mg"/>
    <s v="10 ml"/>
    <n v="489"/>
    <s v="$48883"/>
    <x v="207"/>
    <x v="0"/>
    <x v="282"/>
    <x v="3"/>
    <x v="282"/>
    <n v="99.965235173824126"/>
    <m/>
  </r>
  <r>
    <x v="3"/>
    <x v="4"/>
    <s v="Tablet"/>
    <s v="500 mg"/>
    <s v="10 ml"/>
    <n v="1042"/>
    <s v="$34649"/>
    <x v="14"/>
    <x v="4"/>
    <x v="283"/>
    <x v="3"/>
    <x v="283"/>
    <n v="33.252399232245679"/>
    <m/>
  </r>
  <r>
    <x v="0"/>
    <x v="4"/>
    <s v="Capsule"/>
    <s v="100 mg/ml"/>
    <n v="60"/>
    <n v="392"/>
    <s v="$33170"/>
    <x v="85"/>
    <x v="3"/>
    <x v="284"/>
    <x v="2"/>
    <x v="284"/>
    <n v="84.617346938775512"/>
    <m/>
  </r>
  <r>
    <x v="4"/>
    <x v="3"/>
    <s v="Injection"/>
    <s v="500 mg"/>
    <s v="100 ml"/>
    <n v="786"/>
    <s v="$22000"/>
    <x v="208"/>
    <x v="2"/>
    <x v="285"/>
    <x v="3"/>
    <x v="285"/>
    <n v="27.989821882951652"/>
    <m/>
  </r>
  <r>
    <x v="3"/>
    <x v="2"/>
    <s v="Tablet"/>
    <s v="50 mg"/>
    <s v="100 ml"/>
    <n v="1347"/>
    <s v="$29744"/>
    <x v="209"/>
    <x v="0"/>
    <x v="286"/>
    <x v="1"/>
    <x v="286"/>
    <n v="22.081662954714179"/>
    <m/>
  </r>
  <r>
    <x v="0"/>
    <x v="3"/>
    <s v="Syrup"/>
    <s v="50 mg"/>
    <n v="60"/>
    <n v="499"/>
    <s v="$14526"/>
    <x v="210"/>
    <x v="4"/>
    <x v="287"/>
    <x v="1"/>
    <x v="287"/>
    <n v="29.110220440881765"/>
    <m/>
  </r>
  <r>
    <x v="1"/>
    <x v="3"/>
    <s v="Capsule"/>
    <s v="50 mg"/>
    <n v="60"/>
    <n v="489"/>
    <s v="$25559"/>
    <x v="211"/>
    <x v="0"/>
    <x v="288"/>
    <x v="3"/>
    <x v="288"/>
    <n v="52.267893660531698"/>
    <m/>
  </r>
  <r>
    <x v="1"/>
    <x v="0"/>
    <s v="Capsule"/>
    <s v="250 mg"/>
    <n v="30"/>
    <n v="963"/>
    <s v="$24965"/>
    <x v="212"/>
    <x v="3"/>
    <x v="289"/>
    <x v="1"/>
    <x v="289"/>
    <n v="25.924195223260643"/>
    <m/>
  </r>
  <r>
    <x v="3"/>
    <x v="3"/>
    <s v="Cream"/>
    <s v="250 mg"/>
    <s v="100 ml"/>
    <n v="1650"/>
    <s v="$36514"/>
    <x v="213"/>
    <x v="3"/>
    <x v="290"/>
    <x v="1"/>
    <x v="290"/>
    <n v="22.129696969696969"/>
    <m/>
  </r>
  <r>
    <x v="0"/>
    <x v="4"/>
    <s v="Capsule"/>
    <s v="500 mg"/>
    <s v="100 ml"/>
    <n v="1826"/>
    <s v="$46602"/>
    <x v="214"/>
    <x v="2"/>
    <x v="291"/>
    <x v="4"/>
    <x v="291"/>
    <n v="25.521358159912378"/>
    <m/>
  </r>
  <r>
    <x v="4"/>
    <x v="2"/>
    <s v="Cream"/>
    <s v="500 mg"/>
    <n v="60"/>
    <n v="608"/>
    <s v="$28326"/>
    <x v="28"/>
    <x v="4"/>
    <x v="292"/>
    <x v="0"/>
    <x v="292"/>
    <n v="46.588815789473685"/>
    <m/>
  </r>
  <r>
    <x v="2"/>
    <x v="3"/>
    <s v="Tablet"/>
    <s v="500 mg"/>
    <s v="100 ml"/>
    <n v="297"/>
    <s v="$20215"/>
    <x v="68"/>
    <x v="3"/>
    <x v="293"/>
    <x v="2"/>
    <x v="293"/>
    <n v="68.063973063973066"/>
    <m/>
  </r>
  <r>
    <x v="2"/>
    <x v="3"/>
    <s v="Cream"/>
    <s v="250 mg"/>
    <n v="60"/>
    <n v="1095"/>
    <s v="$23543"/>
    <x v="215"/>
    <x v="0"/>
    <x v="294"/>
    <x v="0"/>
    <x v="294"/>
    <n v="21.500456621004567"/>
    <m/>
  </r>
  <r>
    <x v="4"/>
    <x v="4"/>
    <s v="Tablet"/>
    <s v="10 mg"/>
    <n v="30"/>
    <n v="1585"/>
    <s v="$34365"/>
    <x v="122"/>
    <x v="3"/>
    <x v="295"/>
    <x v="1"/>
    <x v="295"/>
    <n v="21.681388012618296"/>
    <m/>
  </r>
  <r>
    <x v="1"/>
    <x v="0"/>
    <s v="Injection"/>
    <s v="500 mg"/>
    <s v="50 g"/>
    <n v="749"/>
    <s v="$13462"/>
    <x v="133"/>
    <x v="3"/>
    <x v="296"/>
    <x v="0"/>
    <x v="296"/>
    <n v="17.973297730307078"/>
    <m/>
  </r>
  <r>
    <x v="0"/>
    <x v="1"/>
    <s v="Capsule"/>
    <s v="10 mg"/>
    <s v="50 g"/>
    <n v="1666"/>
    <s v="$32893"/>
    <x v="154"/>
    <x v="4"/>
    <x v="297"/>
    <x v="0"/>
    <x v="297"/>
    <n v="19.743697478991596"/>
    <m/>
  </r>
  <r>
    <x v="3"/>
    <x v="0"/>
    <s v="Cream"/>
    <s v="50 mg"/>
    <n v="60"/>
    <n v="371"/>
    <s v="$25596"/>
    <x v="216"/>
    <x v="3"/>
    <x v="298"/>
    <x v="3"/>
    <x v="298"/>
    <n v="68.991913746630729"/>
    <m/>
  </r>
  <r>
    <x v="4"/>
    <x v="3"/>
    <s v="Syrup"/>
    <s v="250 mg"/>
    <s v="100 ml"/>
    <n v="1663"/>
    <s v="$20214"/>
    <x v="217"/>
    <x v="0"/>
    <x v="299"/>
    <x v="1"/>
    <x v="299"/>
    <n v="12.155141310883945"/>
    <m/>
  </r>
  <r>
    <x v="1"/>
    <x v="4"/>
    <s v="Tablet"/>
    <s v="500 mg"/>
    <s v="50 g"/>
    <n v="698"/>
    <s v="$1522"/>
    <x v="218"/>
    <x v="4"/>
    <x v="300"/>
    <x v="1"/>
    <x v="300"/>
    <n v="2.1805157593123208"/>
    <m/>
  </r>
  <r>
    <x v="0"/>
    <x v="3"/>
    <s v="Tablet"/>
    <s v="500 mg"/>
    <s v="50 g"/>
    <n v="1595"/>
    <s v="$16585"/>
    <x v="14"/>
    <x v="2"/>
    <x v="301"/>
    <x v="3"/>
    <x v="301"/>
    <n v="10.398119122257054"/>
    <m/>
  </r>
  <r>
    <x v="1"/>
    <x v="3"/>
    <s v="Injection"/>
    <s v="100 mg/ml"/>
    <n v="60"/>
    <n v="1474"/>
    <s v="$32199"/>
    <x v="110"/>
    <x v="0"/>
    <x v="302"/>
    <x v="0"/>
    <x v="302"/>
    <n v="21.844640434192673"/>
    <m/>
  </r>
  <r>
    <x v="0"/>
    <x v="2"/>
    <s v="Cream"/>
    <s v="250 mg"/>
    <s v="10 ml"/>
    <n v="1611"/>
    <s v="$37594"/>
    <x v="206"/>
    <x v="4"/>
    <x v="303"/>
    <x v="2"/>
    <x v="303"/>
    <n v="23.335816263190566"/>
    <m/>
  </r>
  <r>
    <x v="1"/>
    <x v="2"/>
    <s v="Injection"/>
    <s v="10 mg"/>
    <s v="10 ml"/>
    <n v="1876"/>
    <s v="$26559"/>
    <x v="163"/>
    <x v="0"/>
    <x v="304"/>
    <x v="3"/>
    <x v="304"/>
    <n v="14.15724946695096"/>
    <m/>
  </r>
  <r>
    <x v="2"/>
    <x v="4"/>
    <s v="Cream"/>
    <s v="500 mg"/>
    <n v="60"/>
    <n v="939"/>
    <s v="$22379"/>
    <x v="219"/>
    <x v="2"/>
    <x v="305"/>
    <x v="3"/>
    <x v="305"/>
    <n v="23.83280085197018"/>
    <m/>
  </r>
  <r>
    <x v="3"/>
    <x v="2"/>
    <s v="Cream"/>
    <s v="50 mg"/>
    <n v="60"/>
    <n v="1075"/>
    <s v="$41442"/>
    <x v="193"/>
    <x v="3"/>
    <x v="306"/>
    <x v="1"/>
    <x v="306"/>
    <n v="38.550697674418608"/>
    <m/>
  </r>
  <r>
    <x v="0"/>
    <x v="3"/>
    <s v="Syrup"/>
    <s v="10 mg"/>
    <n v="30"/>
    <n v="868"/>
    <s v="$41228"/>
    <x v="68"/>
    <x v="3"/>
    <x v="307"/>
    <x v="3"/>
    <x v="307"/>
    <n v="47.497695852534562"/>
    <m/>
  </r>
  <r>
    <x v="1"/>
    <x v="1"/>
    <s v="Cream"/>
    <s v="50 mg"/>
    <s v="10 ml"/>
    <n v="1135"/>
    <s v="$42632"/>
    <x v="61"/>
    <x v="1"/>
    <x v="308"/>
    <x v="3"/>
    <x v="308"/>
    <n v="37.561233480176213"/>
    <m/>
  </r>
  <r>
    <x v="1"/>
    <x v="0"/>
    <s v="Capsule"/>
    <s v="250 mg"/>
    <n v="30"/>
    <n v="1780"/>
    <s v="$28351"/>
    <x v="220"/>
    <x v="2"/>
    <x v="309"/>
    <x v="4"/>
    <x v="309"/>
    <n v="15.927528089887641"/>
    <m/>
  </r>
  <r>
    <x v="4"/>
    <x v="2"/>
    <s v="Injection"/>
    <s v="100 mg/ml"/>
    <s v="10 ml"/>
    <n v="833"/>
    <s v="$42915"/>
    <x v="130"/>
    <x v="2"/>
    <x v="310"/>
    <x v="0"/>
    <x v="310"/>
    <n v="51.518607442977192"/>
    <m/>
  </r>
  <r>
    <x v="0"/>
    <x v="4"/>
    <s v="Syrup"/>
    <s v="250 mg"/>
    <s v="10 ml"/>
    <n v="1134"/>
    <s v="$26634"/>
    <x v="61"/>
    <x v="2"/>
    <x v="311"/>
    <x v="1"/>
    <x v="311"/>
    <n v="23.486772486772487"/>
    <m/>
  </r>
  <r>
    <x v="3"/>
    <x v="3"/>
    <s v="Cream"/>
    <s v="50 mg"/>
    <s v="100 ml"/>
    <n v="1706"/>
    <s v="$21681"/>
    <x v="218"/>
    <x v="3"/>
    <x v="312"/>
    <x v="1"/>
    <x v="312"/>
    <n v="12.708675263774913"/>
    <m/>
  </r>
  <r>
    <x v="2"/>
    <x v="4"/>
    <s v="Cream"/>
    <s v="250 mg"/>
    <s v="10 ml"/>
    <n v="1395"/>
    <s v="$22835"/>
    <x v="58"/>
    <x v="3"/>
    <x v="313"/>
    <x v="4"/>
    <x v="313"/>
    <n v="16.369175627240143"/>
    <m/>
  </r>
  <r>
    <x v="1"/>
    <x v="1"/>
    <s v="Tablet"/>
    <s v="10 mg"/>
    <s v="100 ml"/>
    <n v="1693"/>
    <s v="$31240"/>
    <x v="213"/>
    <x v="0"/>
    <x v="314"/>
    <x v="3"/>
    <x v="314"/>
    <n v="18.452451269935025"/>
    <m/>
  </r>
  <r>
    <x v="1"/>
    <x v="3"/>
    <s v="Syrup"/>
    <s v="10 mg"/>
    <n v="30"/>
    <n v="1549"/>
    <s v="$9455"/>
    <x v="221"/>
    <x v="3"/>
    <x v="315"/>
    <x v="2"/>
    <x v="315"/>
    <n v="6.1039380245319563"/>
    <m/>
  </r>
  <r>
    <x v="1"/>
    <x v="1"/>
    <s v="Cream"/>
    <s v="10 mg"/>
    <s v="10 ml"/>
    <n v="100"/>
    <s v="$32910"/>
    <x v="222"/>
    <x v="4"/>
    <x v="316"/>
    <x v="1"/>
    <x v="316"/>
    <n v="329.1"/>
    <m/>
  </r>
  <r>
    <x v="0"/>
    <x v="2"/>
    <s v="Cream"/>
    <s v="50 mg"/>
    <s v="50 g"/>
    <n v="826"/>
    <s v="$24350"/>
    <x v="155"/>
    <x v="4"/>
    <x v="317"/>
    <x v="0"/>
    <x v="317"/>
    <n v="29.479418886198548"/>
    <m/>
  </r>
  <r>
    <x v="2"/>
    <x v="0"/>
    <s v="Cream"/>
    <s v="500 mg"/>
    <s v="50 g"/>
    <n v="1308"/>
    <s v="$17828"/>
    <x v="115"/>
    <x v="2"/>
    <x v="318"/>
    <x v="4"/>
    <x v="318"/>
    <n v="13.629969418960245"/>
    <m/>
  </r>
  <r>
    <x v="0"/>
    <x v="3"/>
    <s v="Capsule"/>
    <s v="500 mg"/>
    <s v="100 ml"/>
    <n v="1691"/>
    <s v="$37249"/>
    <x v="196"/>
    <x v="4"/>
    <x v="319"/>
    <x v="4"/>
    <x v="319"/>
    <n v="22.027794204612654"/>
    <m/>
  </r>
  <r>
    <x v="0"/>
    <x v="4"/>
    <s v="Syrup"/>
    <s v="10 mg"/>
    <s v="10 ml"/>
    <n v="1028"/>
    <s v="$7222"/>
    <x v="208"/>
    <x v="1"/>
    <x v="320"/>
    <x v="4"/>
    <x v="320"/>
    <n v="7.0252918287937742"/>
    <m/>
  </r>
  <r>
    <x v="4"/>
    <x v="3"/>
    <s v="Cream"/>
    <s v="100 mg/ml"/>
    <n v="30"/>
    <n v="1134"/>
    <s v="$5856"/>
    <x v="82"/>
    <x v="4"/>
    <x v="321"/>
    <x v="1"/>
    <x v="321"/>
    <n v="5.1640211640211637"/>
    <m/>
  </r>
  <r>
    <x v="3"/>
    <x v="2"/>
    <s v="Cream"/>
    <s v="250 mg"/>
    <s v="50 g"/>
    <n v="1503"/>
    <s v="$19148"/>
    <x v="213"/>
    <x v="2"/>
    <x v="322"/>
    <x v="2"/>
    <x v="322"/>
    <n v="12.739853626081171"/>
    <m/>
  </r>
  <r>
    <x v="3"/>
    <x v="0"/>
    <s v="Tablet"/>
    <s v="500 mg"/>
    <s v="10 ml"/>
    <n v="1509"/>
    <s v="$30615"/>
    <x v="217"/>
    <x v="3"/>
    <x v="323"/>
    <x v="1"/>
    <x v="323"/>
    <n v="20.2882703777336"/>
    <m/>
  </r>
  <r>
    <x v="4"/>
    <x v="2"/>
    <s v="Syrup"/>
    <s v="10 mg"/>
    <s v="10 ml"/>
    <n v="578"/>
    <s v="$33113"/>
    <x v="223"/>
    <x v="2"/>
    <x v="324"/>
    <x v="0"/>
    <x v="324"/>
    <n v="57.288927335640139"/>
    <m/>
  </r>
  <r>
    <x v="2"/>
    <x v="2"/>
    <s v="Cream"/>
    <s v="250 mg"/>
    <s v="10 ml"/>
    <n v="1195"/>
    <s v="$42794"/>
    <x v="186"/>
    <x v="4"/>
    <x v="325"/>
    <x v="3"/>
    <x v="325"/>
    <n v="35.81087866108787"/>
    <m/>
  </r>
  <r>
    <x v="4"/>
    <x v="3"/>
    <s v="Injection"/>
    <s v="50 mg"/>
    <n v="60"/>
    <n v="485"/>
    <s v="$29314"/>
    <x v="216"/>
    <x v="4"/>
    <x v="326"/>
    <x v="2"/>
    <x v="326"/>
    <n v="60.44123711340206"/>
    <m/>
  </r>
  <r>
    <x v="1"/>
    <x v="4"/>
    <s v="Tablet"/>
    <s v="100 mg/ml"/>
    <n v="60"/>
    <n v="819"/>
    <s v="$47811"/>
    <x v="224"/>
    <x v="0"/>
    <x v="327"/>
    <x v="4"/>
    <x v="327"/>
    <n v="58.37728937728938"/>
    <m/>
  </r>
  <r>
    <x v="2"/>
    <x v="1"/>
    <s v="Syrup"/>
    <s v="100 mg/ml"/>
    <s v="100 ml"/>
    <n v="1654"/>
    <s v="$16660"/>
    <x v="225"/>
    <x v="0"/>
    <x v="328"/>
    <x v="2"/>
    <x v="328"/>
    <n v="10.07255139056832"/>
    <m/>
  </r>
  <r>
    <x v="4"/>
    <x v="0"/>
    <s v="Capsule"/>
    <s v="500 mg"/>
    <n v="60"/>
    <n v="1957"/>
    <s v="$32269"/>
    <x v="226"/>
    <x v="3"/>
    <x v="329"/>
    <x v="3"/>
    <x v="329"/>
    <n v="16.489013796627493"/>
    <m/>
  </r>
  <r>
    <x v="1"/>
    <x v="4"/>
    <s v="Cream"/>
    <s v="50 mg"/>
    <n v="60"/>
    <n v="799"/>
    <s v="$10708"/>
    <x v="227"/>
    <x v="3"/>
    <x v="330"/>
    <x v="1"/>
    <x v="330"/>
    <n v="13.401752190237797"/>
    <m/>
  </r>
  <r>
    <x v="2"/>
    <x v="2"/>
    <s v="Cream"/>
    <s v="10 mg"/>
    <s v="100 ml"/>
    <n v="1532"/>
    <s v="$5489"/>
    <x v="83"/>
    <x v="4"/>
    <x v="331"/>
    <x v="0"/>
    <x v="331"/>
    <n v="3.5828981723237598"/>
    <m/>
  </r>
  <r>
    <x v="3"/>
    <x v="0"/>
    <s v="Injection"/>
    <s v="250 mg"/>
    <s v="100 ml"/>
    <n v="1786"/>
    <s v="$11345"/>
    <x v="39"/>
    <x v="1"/>
    <x v="332"/>
    <x v="1"/>
    <x v="332"/>
    <n v="6.3521836506159017"/>
    <m/>
  </r>
  <r>
    <x v="0"/>
    <x v="4"/>
    <s v="Syrup"/>
    <s v="50 mg"/>
    <s v="100 ml"/>
    <n v="1927"/>
    <s v="$8953"/>
    <x v="228"/>
    <x v="2"/>
    <x v="333"/>
    <x v="1"/>
    <x v="333"/>
    <n v="4.6460819927348211"/>
    <m/>
  </r>
  <r>
    <x v="4"/>
    <x v="0"/>
    <s v="Capsule"/>
    <s v="10 mg"/>
    <n v="60"/>
    <n v="1475"/>
    <s v="$27251"/>
    <x v="229"/>
    <x v="1"/>
    <x v="334"/>
    <x v="3"/>
    <x v="334"/>
    <n v="18.475254237288137"/>
    <m/>
  </r>
  <r>
    <x v="2"/>
    <x v="1"/>
    <s v="Capsule"/>
    <s v="100 mg/ml"/>
    <s v="10 ml"/>
    <n v="290"/>
    <s v="$16582"/>
    <x v="141"/>
    <x v="2"/>
    <x v="335"/>
    <x v="0"/>
    <x v="335"/>
    <n v="57.179310344827584"/>
    <m/>
  </r>
  <r>
    <x v="2"/>
    <x v="1"/>
    <s v="Tablet"/>
    <s v="50 mg"/>
    <n v="60"/>
    <n v="677"/>
    <s v="$20916"/>
    <x v="23"/>
    <x v="2"/>
    <x v="336"/>
    <x v="3"/>
    <x v="336"/>
    <n v="30.89512555391433"/>
    <m/>
  </r>
  <r>
    <x v="0"/>
    <x v="3"/>
    <s v="Injection"/>
    <s v="50 mg"/>
    <s v="10 ml"/>
    <n v="1728"/>
    <s v="$30905"/>
    <x v="138"/>
    <x v="4"/>
    <x v="337"/>
    <x v="1"/>
    <x v="337"/>
    <n v="17.884837962962962"/>
    <m/>
  </r>
  <r>
    <x v="4"/>
    <x v="3"/>
    <s v="Capsule"/>
    <s v="50 mg"/>
    <s v="10 ml"/>
    <n v="709"/>
    <s v="$16636"/>
    <x v="87"/>
    <x v="4"/>
    <x v="338"/>
    <x v="0"/>
    <x v="338"/>
    <n v="23.464033850493653"/>
    <m/>
  </r>
  <r>
    <x v="3"/>
    <x v="3"/>
    <s v="Tablet"/>
    <s v="10 mg"/>
    <n v="60"/>
    <n v="1660"/>
    <s v="$9172"/>
    <x v="230"/>
    <x v="4"/>
    <x v="339"/>
    <x v="4"/>
    <x v="339"/>
    <n v="5.5253012048192769"/>
    <m/>
  </r>
  <r>
    <x v="2"/>
    <x v="4"/>
    <s v="Capsule"/>
    <s v="500 mg"/>
    <n v="60"/>
    <n v="1530"/>
    <s v="$15055"/>
    <x v="73"/>
    <x v="2"/>
    <x v="340"/>
    <x v="4"/>
    <x v="340"/>
    <n v="9.8398692810457522"/>
    <m/>
  </r>
  <r>
    <x v="0"/>
    <x v="0"/>
    <s v="Tablet"/>
    <s v="500 mg"/>
    <n v="60"/>
    <n v="1804"/>
    <s v="$17065"/>
    <x v="231"/>
    <x v="2"/>
    <x v="341"/>
    <x v="1"/>
    <x v="341"/>
    <n v="9.4595343680709529"/>
    <m/>
  </r>
  <r>
    <x v="2"/>
    <x v="2"/>
    <s v="Tablet"/>
    <s v="10 mg"/>
    <s v="10 ml"/>
    <n v="847"/>
    <s v="$20074"/>
    <x v="232"/>
    <x v="4"/>
    <x v="342"/>
    <x v="2"/>
    <x v="342"/>
    <n v="23.700118063754427"/>
    <m/>
  </r>
  <r>
    <x v="4"/>
    <x v="4"/>
    <s v="Injection"/>
    <s v="10 mg"/>
    <s v="50 g"/>
    <n v="1944"/>
    <s v="$25684"/>
    <x v="124"/>
    <x v="2"/>
    <x v="343"/>
    <x v="2"/>
    <x v="343"/>
    <n v="13.2119341563786"/>
    <m/>
  </r>
  <r>
    <x v="0"/>
    <x v="3"/>
    <s v="Capsule"/>
    <s v="500 mg"/>
    <s v="100 ml"/>
    <n v="1882"/>
    <s v="$14779"/>
    <x v="2"/>
    <x v="3"/>
    <x v="344"/>
    <x v="2"/>
    <x v="344"/>
    <n v="7.8528161530286926"/>
    <m/>
  </r>
  <r>
    <x v="2"/>
    <x v="0"/>
    <s v="Capsule"/>
    <s v="500 mg"/>
    <s v="50 g"/>
    <n v="377"/>
    <s v="$20905"/>
    <x v="182"/>
    <x v="3"/>
    <x v="345"/>
    <x v="1"/>
    <x v="345"/>
    <n v="55.450928381962868"/>
    <m/>
  </r>
  <r>
    <x v="1"/>
    <x v="0"/>
    <s v="Injection"/>
    <s v="100 mg/ml"/>
    <s v="50 g"/>
    <n v="1784"/>
    <s v="$11761"/>
    <x v="133"/>
    <x v="2"/>
    <x v="346"/>
    <x v="2"/>
    <x v="346"/>
    <n v="6.5924887892376685"/>
    <m/>
  </r>
  <r>
    <x v="2"/>
    <x v="1"/>
    <s v="Injection"/>
    <s v="50 mg"/>
    <s v="100 ml"/>
    <n v="1414"/>
    <s v="$29966"/>
    <x v="158"/>
    <x v="3"/>
    <x v="347"/>
    <x v="0"/>
    <x v="347"/>
    <n v="21.192362093352191"/>
    <m/>
  </r>
  <r>
    <x v="0"/>
    <x v="4"/>
    <s v="Syrup"/>
    <s v="100 mg/ml"/>
    <n v="60"/>
    <n v="1782"/>
    <s v="$32047"/>
    <x v="98"/>
    <x v="3"/>
    <x v="348"/>
    <x v="1"/>
    <x v="348"/>
    <n v="17.983726150392815"/>
    <m/>
  </r>
  <r>
    <x v="0"/>
    <x v="2"/>
    <s v="Syrup"/>
    <s v="100 mg/ml"/>
    <n v="30"/>
    <n v="221"/>
    <s v="$40972"/>
    <x v="183"/>
    <x v="3"/>
    <x v="349"/>
    <x v="0"/>
    <x v="349"/>
    <n v="185.39366515837105"/>
    <m/>
  </r>
  <r>
    <x v="2"/>
    <x v="0"/>
    <s v="Syrup"/>
    <s v="10 mg"/>
    <n v="60"/>
    <n v="1221"/>
    <s v="$15799"/>
    <x v="39"/>
    <x v="4"/>
    <x v="350"/>
    <x v="0"/>
    <x v="350"/>
    <n v="12.939393939393939"/>
    <m/>
  </r>
  <r>
    <x v="2"/>
    <x v="1"/>
    <s v="Cream"/>
    <s v="500 mg"/>
    <n v="60"/>
    <n v="1461"/>
    <s v="$28440"/>
    <x v="233"/>
    <x v="1"/>
    <x v="351"/>
    <x v="4"/>
    <x v="351"/>
    <n v="19.466119096509239"/>
    <m/>
  </r>
  <r>
    <x v="4"/>
    <x v="4"/>
    <s v="Syrup"/>
    <s v="100 mg/ml"/>
    <s v="100 ml"/>
    <n v="1621"/>
    <s v="$22584"/>
    <x v="4"/>
    <x v="2"/>
    <x v="352"/>
    <x v="3"/>
    <x v="352"/>
    <n v="13.932140653917335"/>
    <m/>
  </r>
  <r>
    <x v="3"/>
    <x v="3"/>
    <s v="Capsule"/>
    <s v="50 mg"/>
    <s v="100 ml"/>
    <n v="587"/>
    <s v="$49864"/>
    <x v="234"/>
    <x v="1"/>
    <x v="353"/>
    <x v="4"/>
    <x v="353"/>
    <n v="84.947189097103916"/>
    <m/>
  </r>
  <r>
    <x v="0"/>
    <x v="3"/>
    <s v="Injection"/>
    <s v="10 mg"/>
    <s v="100 ml"/>
    <n v="902"/>
    <s v="$15266"/>
    <x v="235"/>
    <x v="0"/>
    <x v="354"/>
    <x v="0"/>
    <x v="354"/>
    <n v="16.924611973392462"/>
    <m/>
  </r>
  <r>
    <x v="2"/>
    <x v="4"/>
    <s v="Cream"/>
    <s v="10 mg"/>
    <s v="10 ml"/>
    <n v="447"/>
    <s v="$5128"/>
    <x v="236"/>
    <x v="2"/>
    <x v="355"/>
    <x v="4"/>
    <x v="355"/>
    <n v="11.472035794183444"/>
    <m/>
  </r>
  <r>
    <x v="3"/>
    <x v="1"/>
    <s v="Injection"/>
    <s v="100 mg/ml"/>
    <n v="60"/>
    <n v="646"/>
    <s v="$39113"/>
    <x v="214"/>
    <x v="0"/>
    <x v="356"/>
    <x v="2"/>
    <x v="356"/>
    <n v="60.546439628482972"/>
    <m/>
  </r>
  <r>
    <x v="4"/>
    <x v="2"/>
    <s v="Tablet"/>
    <s v="10 mg"/>
    <s v="100 ml"/>
    <n v="1135"/>
    <s v="$12514"/>
    <x v="84"/>
    <x v="2"/>
    <x v="357"/>
    <x v="3"/>
    <x v="357"/>
    <n v="11.025550660792952"/>
    <m/>
  </r>
  <r>
    <x v="0"/>
    <x v="1"/>
    <s v="Capsule"/>
    <s v="250 mg"/>
    <s v="50 g"/>
    <n v="1494"/>
    <s v="$45452"/>
    <x v="167"/>
    <x v="1"/>
    <x v="358"/>
    <x v="0"/>
    <x v="358"/>
    <n v="30.42302543507363"/>
    <m/>
  </r>
  <r>
    <x v="2"/>
    <x v="1"/>
    <s v="Tablet"/>
    <s v="50 mg"/>
    <s v="50 g"/>
    <n v="279"/>
    <s v="$32754"/>
    <x v="237"/>
    <x v="1"/>
    <x v="359"/>
    <x v="1"/>
    <x v="359"/>
    <n v="117.39784946236558"/>
    <m/>
  </r>
  <r>
    <x v="1"/>
    <x v="2"/>
    <s v="Syrup"/>
    <s v="50 mg"/>
    <s v="50 g"/>
    <n v="302"/>
    <s v="$20937"/>
    <x v="238"/>
    <x v="0"/>
    <x v="360"/>
    <x v="4"/>
    <x v="360"/>
    <n v="69.327814569536429"/>
    <m/>
  </r>
  <r>
    <x v="4"/>
    <x v="4"/>
    <s v="Injection"/>
    <s v="10 mg"/>
    <s v="10 ml"/>
    <n v="1306"/>
    <s v="$35777"/>
    <x v="150"/>
    <x v="3"/>
    <x v="255"/>
    <x v="4"/>
    <x v="361"/>
    <n v="27.394333843797856"/>
    <m/>
  </r>
  <r>
    <x v="4"/>
    <x v="0"/>
    <s v="Capsule"/>
    <s v="500 mg"/>
    <s v="50 g"/>
    <n v="1372"/>
    <s v="$47220"/>
    <x v="202"/>
    <x v="4"/>
    <x v="361"/>
    <x v="0"/>
    <x v="362"/>
    <n v="34.416909620991255"/>
    <m/>
  </r>
  <r>
    <x v="2"/>
    <x v="1"/>
    <s v="Tablet"/>
    <s v="10 mg"/>
    <n v="60"/>
    <n v="873"/>
    <s v="$28524"/>
    <x v="165"/>
    <x v="2"/>
    <x v="183"/>
    <x v="1"/>
    <x v="363"/>
    <n v="32.673539518900341"/>
    <m/>
  </r>
  <r>
    <x v="2"/>
    <x v="1"/>
    <s v="Tablet"/>
    <s v="10 mg"/>
    <n v="60"/>
    <n v="1075"/>
    <s v="$4900"/>
    <x v="239"/>
    <x v="2"/>
    <x v="362"/>
    <x v="4"/>
    <x v="364"/>
    <n v="4.558139534883721"/>
    <m/>
  </r>
  <r>
    <x v="3"/>
    <x v="3"/>
    <s v="Cream"/>
    <s v="500 mg"/>
    <s v="10 ml"/>
    <n v="862"/>
    <s v="$17179"/>
    <x v="49"/>
    <x v="3"/>
    <x v="363"/>
    <x v="0"/>
    <x v="365"/>
    <n v="19.929234338747101"/>
    <m/>
  </r>
  <r>
    <x v="2"/>
    <x v="0"/>
    <s v="Syrup"/>
    <s v="100 mg/ml"/>
    <s v="10 ml"/>
    <n v="1872"/>
    <s v="$42474"/>
    <x v="240"/>
    <x v="2"/>
    <x v="364"/>
    <x v="2"/>
    <x v="366"/>
    <n v="22.689102564102566"/>
    <m/>
  </r>
  <r>
    <x v="1"/>
    <x v="2"/>
    <s v="Syrup"/>
    <s v="10 mg"/>
    <s v="50 g"/>
    <n v="1041"/>
    <s v="$45750"/>
    <x v="69"/>
    <x v="3"/>
    <x v="365"/>
    <x v="1"/>
    <x v="367"/>
    <n v="43.948126801152739"/>
    <m/>
  </r>
  <r>
    <x v="2"/>
    <x v="0"/>
    <s v="Capsule"/>
    <s v="10 mg"/>
    <n v="60"/>
    <n v="149"/>
    <s v="$40553"/>
    <x v="241"/>
    <x v="3"/>
    <x v="366"/>
    <x v="1"/>
    <x v="368"/>
    <n v="272.16778523489933"/>
    <m/>
  </r>
  <r>
    <x v="2"/>
    <x v="1"/>
    <s v="Injection"/>
    <s v="500 mg"/>
    <n v="60"/>
    <n v="996"/>
    <s v="$6016"/>
    <x v="68"/>
    <x v="4"/>
    <x v="367"/>
    <x v="2"/>
    <x v="369"/>
    <n v="6.0401606425702807"/>
    <m/>
  </r>
  <r>
    <x v="0"/>
    <x v="4"/>
    <s v="Injection"/>
    <s v="500 mg"/>
    <n v="60"/>
    <n v="1890"/>
    <s v="$35859"/>
    <x v="155"/>
    <x v="0"/>
    <x v="368"/>
    <x v="0"/>
    <x v="370"/>
    <n v="18.973015873015871"/>
    <m/>
  </r>
  <r>
    <x v="0"/>
    <x v="1"/>
    <s v="Syrup"/>
    <s v="10 mg"/>
    <n v="30"/>
    <n v="770"/>
    <s v="$15607"/>
    <x v="199"/>
    <x v="1"/>
    <x v="369"/>
    <x v="4"/>
    <x v="371"/>
    <n v="20.26883116883117"/>
    <m/>
  </r>
  <r>
    <x v="1"/>
    <x v="3"/>
    <s v="Injection"/>
    <s v="50 mg"/>
    <n v="30"/>
    <n v="727"/>
    <s v="$3436"/>
    <x v="204"/>
    <x v="3"/>
    <x v="370"/>
    <x v="3"/>
    <x v="372"/>
    <n v="4.7262723521320495"/>
    <m/>
  </r>
  <r>
    <x v="3"/>
    <x v="4"/>
    <s v="Tablet"/>
    <s v="10 mg"/>
    <s v="100 ml"/>
    <n v="190"/>
    <s v="$14001"/>
    <x v="159"/>
    <x v="3"/>
    <x v="371"/>
    <x v="4"/>
    <x v="373"/>
    <n v="73.689473684210526"/>
    <m/>
  </r>
  <r>
    <x v="4"/>
    <x v="1"/>
    <s v="Cream"/>
    <s v="500 mg"/>
    <s v="10 ml"/>
    <n v="1248"/>
    <s v="$33631"/>
    <x v="167"/>
    <x v="2"/>
    <x v="372"/>
    <x v="0"/>
    <x v="374"/>
    <n v="26.947916666666668"/>
    <m/>
  </r>
  <r>
    <x v="4"/>
    <x v="4"/>
    <s v="Syrup"/>
    <s v="50 mg"/>
    <n v="30"/>
    <n v="1183"/>
    <s v="$39477"/>
    <x v="88"/>
    <x v="4"/>
    <x v="373"/>
    <x v="0"/>
    <x v="375"/>
    <n v="33.370245139475905"/>
    <m/>
  </r>
  <r>
    <x v="3"/>
    <x v="4"/>
    <s v="Tablet"/>
    <s v="250 mg"/>
    <n v="60"/>
    <n v="1394"/>
    <s v="$13808"/>
    <x v="242"/>
    <x v="2"/>
    <x v="374"/>
    <x v="1"/>
    <x v="376"/>
    <n v="9.9053084648493552"/>
    <m/>
  </r>
  <r>
    <x v="1"/>
    <x v="4"/>
    <s v="Syrup"/>
    <s v="500 mg"/>
    <s v="100 ml"/>
    <n v="626"/>
    <s v="$28471"/>
    <x v="153"/>
    <x v="3"/>
    <x v="375"/>
    <x v="0"/>
    <x v="377"/>
    <n v="45.480830670926515"/>
    <m/>
  </r>
  <r>
    <x v="0"/>
    <x v="2"/>
    <s v="Injection"/>
    <s v="10 mg"/>
    <n v="60"/>
    <n v="1394"/>
    <s v="$3360"/>
    <x v="243"/>
    <x v="3"/>
    <x v="376"/>
    <x v="1"/>
    <x v="378"/>
    <n v="2.4103299856527975"/>
    <m/>
  </r>
  <r>
    <x v="0"/>
    <x v="1"/>
    <s v="Tablet"/>
    <s v="250 mg"/>
    <n v="30"/>
    <n v="1699"/>
    <s v="$25685"/>
    <x v="60"/>
    <x v="0"/>
    <x v="377"/>
    <x v="1"/>
    <x v="379"/>
    <n v="15.117716303708063"/>
    <m/>
  </r>
  <r>
    <x v="1"/>
    <x v="0"/>
    <s v="Cream"/>
    <s v="250 mg"/>
    <n v="30"/>
    <n v="364"/>
    <s v="$20390"/>
    <x v="215"/>
    <x v="4"/>
    <x v="378"/>
    <x v="1"/>
    <x v="380"/>
    <n v="56.016483516483518"/>
    <m/>
  </r>
  <r>
    <x v="0"/>
    <x v="1"/>
    <s v="Injection"/>
    <s v="100 mg/ml"/>
    <n v="60"/>
    <n v="1120"/>
    <s v="$22277"/>
    <x v="133"/>
    <x v="0"/>
    <x v="379"/>
    <x v="1"/>
    <x v="381"/>
    <n v="19.890178571428571"/>
    <m/>
  </r>
  <r>
    <x v="4"/>
    <x v="3"/>
    <s v="Cream"/>
    <s v="50 mg"/>
    <s v="10 ml"/>
    <n v="323"/>
    <s v="$22108"/>
    <x v="133"/>
    <x v="4"/>
    <x v="380"/>
    <x v="3"/>
    <x v="382"/>
    <n v="68.445820433436538"/>
    <m/>
  </r>
  <r>
    <x v="1"/>
    <x v="1"/>
    <s v="Capsule"/>
    <s v="500 mg"/>
    <n v="30"/>
    <n v="1394"/>
    <s v="$45719"/>
    <x v="71"/>
    <x v="0"/>
    <x v="381"/>
    <x v="3"/>
    <x v="383"/>
    <n v="32.796987087517934"/>
    <m/>
  </r>
  <r>
    <x v="0"/>
    <x v="2"/>
    <s v="Syrup"/>
    <s v="250 mg"/>
    <n v="30"/>
    <n v="515"/>
    <s v="$10882"/>
    <x v="56"/>
    <x v="3"/>
    <x v="382"/>
    <x v="3"/>
    <x v="384"/>
    <n v="21.13009708737864"/>
    <m/>
  </r>
  <r>
    <x v="4"/>
    <x v="3"/>
    <s v="Capsule"/>
    <s v="50 mg"/>
    <s v="10 ml"/>
    <n v="1729"/>
    <s v="$26352"/>
    <x v="244"/>
    <x v="3"/>
    <x v="383"/>
    <x v="4"/>
    <x v="385"/>
    <n v="15.241179872758821"/>
    <m/>
  </r>
  <r>
    <x v="1"/>
    <x v="1"/>
    <s v="Capsule"/>
    <s v="50 mg"/>
    <n v="30"/>
    <n v="1208"/>
    <s v="$39952"/>
    <x v="113"/>
    <x v="0"/>
    <x v="384"/>
    <x v="4"/>
    <x v="386"/>
    <n v="33.072847682119203"/>
    <m/>
  </r>
  <r>
    <x v="4"/>
    <x v="1"/>
    <s v="Syrup"/>
    <s v="10 mg"/>
    <n v="30"/>
    <n v="1657"/>
    <s v="$21133"/>
    <x v="56"/>
    <x v="1"/>
    <x v="385"/>
    <x v="0"/>
    <x v="387"/>
    <n v="12.753771876885938"/>
    <m/>
  </r>
  <r>
    <x v="3"/>
    <x v="0"/>
    <s v="Syrup"/>
    <s v="500 mg"/>
    <n v="60"/>
    <n v="1572"/>
    <s v="$46966"/>
    <x v="93"/>
    <x v="4"/>
    <x v="386"/>
    <x v="2"/>
    <x v="388"/>
    <n v="29.876590330788805"/>
    <m/>
  </r>
  <r>
    <x v="3"/>
    <x v="3"/>
    <s v="Injection"/>
    <s v="500 mg"/>
    <n v="60"/>
    <n v="901"/>
    <s v="$37255"/>
    <x v="196"/>
    <x v="1"/>
    <x v="387"/>
    <x v="0"/>
    <x v="389"/>
    <n v="41.348501664816872"/>
    <m/>
  </r>
  <r>
    <x v="2"/>
    <x v="1"/>
    <s v="Injection"/>
    <s v="100 mg/ml"/>
    <s v="100 ml"/>
    <n v="814"/>
    <s v="$11345"/>
    <x v="58"/>
    <x v="2"/>
    <x v="388"/>
    <x v="4"/>
    <x v="332"/>
    <n v="13.937346437346438"/>
    <m/>
  </r>
  <r>
    <x v="1"/>
    <x v="1"/>
    <s v="Injection"/>
    <s v="50 mg"/>
    <s v="10 ml"/>
    <n v="1124"/>
    <s v="$18402"/>
    <x v="6"/>
    <x v="0"/>
    <x v="8"/>
    <x v="3"/>
    <x v="390"/>
    <n v="16.371886120996443"/>
    <m/>
  </r>
  <r>
    <x v="0"/>
    <x v="1"/>
    <s v="Injection"/>
    <s v="250 mg"/>
    <s v="100 ml"/>
    <n v="1609"/>
    <s v="$12823"/>
    <x v="31"/>
    <x v="2"/>
    <x v="389"/>
    <x v="3"/>
    <x v="391"/>
    <n v="7.9695463020509631"/>
    <m/>
  </r>
  <r>
    <x v="1"/>
    <x v="1"/>
    <s v="Injection"/>
    <s v="250 mg"/>
    <s v="50 g"/>
    <n v="846"/>
    <s v="$39016"/>
    <x v="244"/>
    <x v="0"/>
    <x v="390"/>
    <x v="0"/>
    <x v="392"/>
    <n v="46.118203309692674"/>
    <m/>
  </r>
  <r>
    <x v="3"/>
    <x v="2"/>
    <s v="Cream"/>
    <s v="250 mg"/>
    <s v="50 g"/>
    <n v="859"/>
    <s v="$49397"/>
    <x v="245"/>
    <x v="1"/>
    <x v="391"/>
    <x v="3"/>
    <x v="393"/>
    <n v="57.505238649592549"/>
    <m/>
  </r>
  <r>
    <x v="1"/>
    <x v="2"/>
    <s v="Tablet"/>
    <s v="250 mg"/>
    <s v="10 ml"/>
    <n v="389"/>
    <s v="$3098"/>
    <x v="145"/>
    <x v="2"/>
    <x v="392"/>
    <x v="1"/>
    <x v="394"/>
    <n v="7.9640102827763499"/>
    <m/>
  </r>
  <r>
    <x v="0"/>
    <x v="4"/>
    <s v="Injection"/>
    <s v="500 mg"/>
    <n v="60"/>
    <n v="1964"/>
    <s v="$38375"/>
    <x v="236"/>
    <x v="0"/>
    <x v="208"/>
    <x v="0"/>
    <x v="395"/>
    <n v="19.539205702647656"/>
    <m/>
  </r>
  <r>
    <x v="3"/>
    <x v="3"/>
    <s v="Injection"/>
    <s v="100 mg/ml"/>
    <n v="60"/>
    <n v="764"/>
    <s v="$2858"/>
    <x v="246"/>
    <x v="4"/>
    <x v="393"/>
    <x v="1"/>
    <x v="396"/>
    <n v="3.7408376963350785"/>
    <m/>
  </r>
  <r>
    <x v="4"/>
    <x v="3"/>
    <s v="Syrup"/>
    <s v="500 mg"/>
    <n v="30"/>
    <n v="1326"/>
    <s v="$20696"/>
    <x v="183"/>
    <x v="4"/>
    <x v="394"/>
    <x v="0"/>
    <x v="397"/>
    <n v="15.607843137254902"/>
    <m/>
  </r>
  <r>
    <x v="1"/>
    <x v="4"/>
    <s v="Cream"/>
    <s v="50 mg"/>
    <s v="50 g"/>
    <n v="229"/>
    <s v="$17960"/>
    <x v="247"/>
    <x v="2"/>
    <x v="395"/>
    <x v="0"/>
    <x v="398"/>
    <n v="78.427947598253269"/>
    <m/>
  </r>
  <r>
    <x v="1"/>
    <x v="2"/>
    <s v="Tablet"/>
    <s v="50 mg"/>
    <s v="10 ml"/>
    <n v="1201"/>
    <s v="$15965"/>
    <x v="74"/>
    <x v="0"/>
    <x v="396"/>
    <x v="0"/>
    <x v="399"/>
    <n v="13.293089092422981"/>
    <m/>
  </r>
  <r>
    <x v="0"/>
    <x v="2"/>
    <s v="Tablet"/>
    <s v="500 mg"/>
    <n v="60"/>
    <n v="498"/>
    <s v="$17227"/>
    <x v="191"/>
    <x v="0"/>
    <x v="397"/>
    <x v="0"/>
    <x v="400"/>
    <n v="34.592369477911646"/>
    <m/>
  </r>
  <r>
    <x v="1"/>
    <x v="0"/>
    <s v="Capsule"/>
    <s v="500 mg"/>
    <n v="60"/>
    <n v="1171"/>
    <s v="$1301"/>
    <x v="224"/>
    <x v="2"/>
    <x v="398"/>
    <x v="2"/>
    <x v="401"/>
    <n v="1.1110162254483347"/>
    <m/>
  </r>
  <r>
    <x v="4"/>
    <x v="3"/>
    <s v="Injection"/>
    <s v="10 mg"/>
    <n v="30"/>
    <n v="429"/>
    <s v="$1770"/>
    <x v="248"/>
    <x v="3"/>
    <x v="399"/>
    <x v="4"/>
    <x v="402"/>
    <n v="4.1258741258741258"/>
    <m/>
  </r>
  <r>
    <x v="3"/>
    <x v="4"/>
    <s v="Capsule"/>
    <s v="50 mg"/>
    <n v="60"/>
    <n v="149"/>
    <s v="$24712"/>
    <x v="229"/>
    <x v="2"/>
    <x v="400"/>
    <x v="3"/>
    <x v="403"/>
    <n v="165.85234899328859"/>
    <m/>
  </r>
  <r>
    <x v="0"/>
    <x v="3"/>
    <s v="Cream"/>
    <s v="250 mg"/>
    <n v="60"/>
    <n v="832"/>
    <s v="$41916"/>
    <x v="249"/>
    <x v="0"/>
    <x v="401"/>
    <x v="3"/>
    <x v="404"/>
    <n v="50.379807692307693"/>
    <m/>
  </r>
  <r>
    <x v="2"/>
    <x v="1"/>
    <s v="Syrup"/>
    <s v="500 mg"/>
    <s v="50 g"/>
    <n v="324"/>
    <s v="$40529"/>
    <x v="233"/>
    <x v="1"/>
    <x v="402"/>
    <x v="0"/>
    <x v="405"/>
    <n v="125.08950617283951"/>
    <m/>
  </r>
  <r>
    <x v="1"/>
    <x v="3"/>
    <s v="Capsule"/>
    <s v="500 mg"/>
    <s v="10 ml"/>
    <n v="244"/>
    <s v="$34645"/>
    <x v="32"/>
    <x v="0"/>
    <x v="403"/>
    <x v="0"/>
    <x v="406"/>
    <n v="141.98770491803279"/>
    <m/>
  </r>
  <r>
    <x v="1"/>
    <x v="4"/>
    <s v="Syrup"/>
    <s v="50 mg"/>
    <n v="60"/>
    <n v="298"/>
    <s v="$26167"/>
    <x v="250"/>
    <x v="3"/>
    <x v="404"/>
    <x v="4"/>
    <x v="407"/>
    <n v="87.808724832214764"/>
    <m/>
  </r>
  <r>
    <x v="1"/>
    <x v="1"/>
    <s v="Syrup"/>
    <s v="100 mg/ml"/>
    <n v="30"/>
    <n v="1148"/>
    <s v="$49962"/>
    <x v="211"/>
    <x v="3"/>
    <x v="405"/>
    <x v="0"/>
    <x v="408"/>
    <n v="43.520905923344948"/>
    <m/>
  </r>
  <r>
    <x v="1"/>
    <x v="4"/>
    <s v="Syrup"/>
    <s v="250 mg"/>
    <n v="60"/>
    <n v="1090"/>
    <s v="$1972"/>
    <x v="251"/>
    <x v="1"/>
    <x v="406"/>
    <x v="2"/>
    <x v="409"/>
    <n v="1.8091743119266055"/>
    <m/>
  </r>
  <r>
    <x v="0"/>
    <x v="2"/>
    <s v="Injection"/>
    <s v="100 mg/ml"/>
    <s v="100 ml"/>
    <n v="1944"/>
    <s v="$26394"/>
    <x v="252"/>
    <x v="3"/>
    <x v="407"/>
    <x v="2"/>
    <x v="410"/>
    <n v="13.57716049382716"/>
    <m/>
  </r>
  <r>
    <x v="1"/>
    <x v="4"/>
    <s v="Injection"/>
    <s v="10 mg"/>
    <n v="30"/>
    <n v="835"/>
    <s v="$30738"/>
    <x v="198"/>
    <x v="1"/>
    <x v="408"/>
    <x v="4"/>
    <x v="411"/>
    <n v="36.811976047904189"/>
    <m/>
  </r>
  <r>
    <x v="3"/>
    <x v="2"/>
    <s v="Injection"/>
    <s v="10 mg"/>
    <s v="100 ml"/>
    <n v="1156"/>
    <s v="$38835"/>
    <x v="32"/>
    <x v="3"/>
    <x v="409"/>
    <x v="2"/>
    <x v="412"/>
    <n v="33.594290657439444"/>
    <m/>
  </r>
  <r>
    <x v="2"/>
    <x v="4"/>
    <s v="Cream"/>
    <s v="500 mg"/>
    <n v="60"/>
    <n v="728"/>
    <s v="$11807"/>
    <x v="19"/>
    <x v="2"/>
    <x v="410"/>
    <x v="2"/>
    <x v="413"/>
    <n v="16.218406593406595"/>
    <m/>
  </r>
  <r>
    <x v="1"/>
    <x v="4"/>
    <s v="Syrup"/>
    <s v="250 mg"/>
    <s v="100 ml"/>
    <n v="1706"/>
    <s v="$30997"/>
    <x v="10"/>
    <x v="0"/>
    <x v="411"/>
    <x v="3"/>
    <x v="414"/>
    <n v="18.169402110199297"/>
    <m/>
  </r>
  <r>
    <x v="0"/>
    <x v="0"/>
    <s v="Cream"/>
    <s v="10 mg"/>
    <n v="60"/>
    <n v="1281"/>
    <s v="$18807"/>
    <x v="67"/>
    <x v="3"/>
    <x v="412"/>
    <x v="0"/>
    <x v="415"/>
    <n v="14.681498829039812"/>
    <m/>
  </r>
  <r>
    <x v="3"/>
    <x v="4"/>
    <s v="Capsule"/>
    <s v="100 mg/ml"/>
    <n v="30"/>
    <n v="1507"/>
    <s v="$30246"/>
    <x v="158"/>
    <x v="4"/>
    <x v="413"/>
    <x v="2"/>
    <x v="416"/>
    <n v="20.070338420703383"/>
    <m/>
  </r>
  <r>
    <x v="2"/>
    <x v="0"/>
    <s v="Cream"/>
    <s v="100 mg/ml"/>
    <s v="10 ml"/>
    <n v="1337"/>
    <s v="$1231"/>
    <x v="41"/>
    <x v="3"/>
    <x v="414"/>
    <x v="2"/>
    <x v="417"/>
    <n v="0.92071802543006731"/>
    <m/>
  </r>
  <r>
    <x v="1"/>
    <x v="4"/>
    <s v="Capsule"/>
    <s v="100 mg/ml"/>
    <n v="60"/>
    <n v="483"/>
    <s v="$10434"/>
    <x v="201"/>
    <x v="2"/>
    <x v="415"/>
    <x v="4"/>
    <x v="418"/>
    <n v="21.602484472049689"/>
    <m/>
  </r>
  <r>
    <x v="1"/>
    <x v="1"/>
    <s v="Injection"/>
    <s v="250 mg"/>
    <s v="50 g"/>
    <n v="1562"/>
    <s v="$4538"/>
    <x v="202"/>
    <x v="3"/>
    <x v="416"/>
    <x v="4"/>
    <x v="419"/>
    <n v="2.9052496798975671"/>
    <m/>
  </r>
  <r>
    <x v="3"/>
    <x v="3"/>
    <s v="Syrup"/>
    <s v="250 mg"/>
    <s v="50 g"/>
    <n v="1893"/>
    <s v="$10971"/>
    <x v="110"/>
    <x v="1"/>
    <x v="417"/>
    <x v="0"/>
    <x v="420"/>
    <n v="5.795562599049128"/>
    <m/>
  </r>
  <r>
    <x v="0"/>
    <x v="1"/>
    <s v="Tablet"/>
    <s v="10 mg"/>
    <s v="10 ml"/>
    <n v="368"/>
    <s v="$16546"/>
    <x v="20"/>
    <x v="2"/>
    <x v="418"/>
    <x v="1"/>
    <x v="421"/>
    <n v="44.961956521739133"/>
    <m/>
  </r>
  <r>
    <x v="3"/>
    <x v="4"/>
    <s v="Cream"/>
    <s v="50 mg"/>
    <s v="50 g"/>
    <n v="1781"/>
    <s v="$2138"/>
    <x v="149"/>
    <x v="3"/>
    <x v="419"/>
    <x v="1"/>
    <x v="422"/>
    <n v="1.2004491858506456"/>
    <m/>
  </r>
  <r>
    <x v="4"/>
    <x v="1"/>
    <s v="Injection"/>
    <s v="250 mg"/>
    <n v="30"/>
    <n v="440"/>
    <s v="$20986"/>
    <x v="109"/>
    <x v="2"/>
    <x v="420"/>
    <x v="0"/>
    <x v="423"/>
    <n v="47.695454545454545"/>
    <m/>
  </r>
  <r>
    <x v="1"/>
    <x v="4"/>
    <s v="Syrup"/>
    <s v="100 mg/ml"/>
    <s v="100 ml"/>
    <n v="214"/>
    <s v="$43574"/>
    <x v="234"/>
    <x v="4"/>
    <x v="421"/>
    <x v="2"/>
    <x v="424"/>
    <n v="203.61682242990653"/>
    <m/>
  </r>
  <r>
    <x v="0"/>
    <x v="0"/>
    <s v="Tablet"/>
    <s v="500 mg"/>
    <n v="30"/>
    <n v="472"/>
    <s v="$19038"/>
    <x v="92"/>
    <x v="4"/>
    <x v="422"/>
    <x v="0"/>
    <x v="425"/>
    <n v="40.334745762711862"/>
    <m/>
  </r>
  <r>
    <x v="0"/>
    <x v="0"/>
    <s v="Tablet"/>
    <s v="50 mg"/>
    <n v="30"/>
    <n v="1484"/>
    <s v="$29949"/>
    <x v="126"/>
    <x v="1"/>
    <x v="423"/>
    <x v="4"/>
    <x v="426"/>
    <n v="20.181266846361186"/>
    <m/>
  </r>
  <r>
    <x v="2"/>
    <x v="1"/>
    <s v="Tablet"/>
    <s v="250 mg"/>
    <s v="100 ml"/>
    <n v="914"/>
    <s v="$34019"/>
    <x v="203"/>
    <x v="4"/>
    <x v="424"/>
    <x v="2"/>
    <x v="427"/>
    <n v="37.2199124726477"/>
    <m/>
  </r>
  <r>
    <x v="2"/>
    <x v="3"/>
    <s v="Capsule"/>
    <s v="10 mg"/>
    <s v="100 ml"/>
    <n v="1423"/>
    <s v="$36260"/>
    <x v="10"/>
    <x v="3"/>
    <x v="425"/>
    <x v="2"/>
    <x v="428"/>
    <n v="25.481377371749826"/>
    <m/>
  </r>
  <r>
    <x v="3"/>
    <x v="4"/>
    <s v="Tablet"/>
    <s v="500 mg"/>
    <n v="60"/>
    <n v="1566"/>
    <s v="$16223"/>
    <x v="54"/>
    <x v="4"/>
    <x v="426"/>
    <x v="4"/>
    <x v="429"/>
    <n v="10.359514687100894"/>
    <m/>
  </r>
  <r>
    <x v="2"/>
    <x v="4"/>
    <s v="Syrup"/>
    <s v="10 mg"/>
    <n v="30"/>
    <n v="908"/>
    <s v="$43749"/>
    <x v="205"/>
    <x v="1"/>
    <x v="427"/>
    <x v="3"/>
    <x v="430"/>
    <n v="48.181718061674012"/>
    <m/>
  </r>
  <r>
    <x v="3"/>
    <x v="1"/>
    <s v="Tablet"/>
    <s v="250 mg"/>
    <n v="60"/>
    <n v="1387"/>
    <s v="$44173"/>
    <x v="97"/>
    <x v="4"/>
    <x v="428"/>
    <x v="2"/>
    <x v="431"/>
    <n v="31.8478731074261"/>
    <m/>
  </r>
  <r>
    <x v="2"/>
    <x v="2"/>
    <s v="Capsule"/>
    <s v="250 mg"/>
    <n v="60"/>
    <n v="755"/>
    <s v="$34127"/>
    <x v="10"/>
    <x v="0"/>
    <x v="429"/>
    <x v="2"/>
    <x v="432"/>
    <n v="45.201324503311255"/>
    <m/>
  </r>
  <r>
    <x v="3"/>
    <x v="2"/>
    <s v="Capsule"/>
    <s v="500 mg"/>
    <s v="100 ml"/>
    <n v="1434"/>
    <s v="$43000"/>
    <x v="253"/>
    <x v="2"/>
    <x v="430"/>
    <x v="4"/>
    <x v="433"/>
    <n v="29.986052998605299"/>
    <m/>
  </r>
  <r>
    <x v="0"/>
    <x v="4"/>
    <s v="Syrup"/>
    <s v="50 mg"/>
    <s v="10 ml"/>
    <n v="1286"/>
    <s v="$1777"/>
    <x v="82"/>
    <x v="3"/>
    <x v="431"/>
    <x v="1"/>
    <x v="434"/>
    <n v="1.3818040435458787"/>
    <m/>
  </r>
  <r>
    <x v="4"/>
    <x v="2"/>
    <s v="Injection"/>
    <s v="500 mg"/>
    <n v="60"/>
    <n v="992"/>
    <s v="$4119"/>
    <x v="144"/>
    <x v="2"/>
    <x v="432"/>
    <x v="1"/>
    <x v="435"/>
    <n v="4.152217741935484"/>
    <m/>
  </r>
  <r>
    <x v="0"/>
    <x v="4"/>
    <s v="Injection"/>
    <s v="100 mg/ml"/>
    <n v="60"/>
    <n v="130"/>
    <s v="$37525"/>
    <x v="254"/>
    <x v="2"/>
    <x v="433"/>
    <x v="1"/>
    <x v="436"/>
    <n v="288.65384615384613"/>
    <m/>
  </r>
  <r>
    <x v="2"/>
    <x v="0"/>
    <s v="Tablet"/>
    <s v="100 mg/ml"/>
    <s v="10 ml"/>
    <n v="1575"/>
    <s v="$15314"/>
    <x v="218"/>
    <x v="3"/>
    <x v="434"/>
    <x v="2"/>
    <x v="437"/>
    <n v="9.7231746031746038"/>
    <m/>
  </r>
  <r>
    <x v="3"/>
    <x v="3"/>
    <s v="Tablet"/>
    <s v="100 mg/ml"/>
    <n v="30"/>
    <n v="634"/>
    <s v="$28930"/>
    <x v="133"/>
    <x v="4"/>
    <x v="435"/>
    <x v="3"/>
    <x v="438"/>
    <n v="45.630914826498426"/>
    <m/>
  </r>
  <r>
    <x v="2"/>
    <x v="0"/>
    <s v="Cream"/>
    <s v="250 mg"/>
    <s v="100 ml"/>
    <n v="937"/>
    <s v="$1592"/>
    <x v="177"/>
    <x v="1"/>
    <x v="436"/>
    <x v="1"/>
    <x v="439"/>
    <n v="1.6990394877267876"/>
    <m/>
  </r>
  <r>
    <x v="3"/>
    <x v="0"/>
    <s v="Injection"/>
    <s v="100 mg/ml"/>
    <n v="60"/>
    <n v="653"/>
    <s v="$40612"/>
    <x v="255"/>
    <x v="0"/>
    <x v="437"/>
    <x v="0"/>
    <x v="440"/>
    <n v="62.192955589586525"/>
    <m/>
  </r>
  <r>
    <x v="1"/>
    <x v="0"/>
    <s v="Cream"/>
    <s v="500 mg"/>
    <n v="30"/>
    <n v="924"/>
    <s v="$12763"/>
    <x v="178"/>
    <x v="3"/>
    <x v="438"/>
    <x v="3"/>
    <x v="441"/>
    <n v="13.812770562770563"/>
    <m/>
  </r>
  <r>
    <x v="3"/>
    <x v="4"/>
    <s v="Injection"/>
    <s v="100 mg/ml"/>
    <s v="10 ml"/>
    <n v="1480"/>
    <s v="$22509"/>
    <x v="256"/>
    <x v="1"/>
    <x v="439"/>
    <x v="3"/>
    <x v="442"/>
    <n v="15.208783783783783"/>
    <m/>
  </r>
  <r>
    <x v="0"/>
    <x v="1"/>
    <s v="Cream"/>
    <s v="50 mg"/>
    <n v="30"/>
    <n v="1069"/>
    <s v="$20868"/>
    <x v="197"/>
    <x v="3"/>
    <x v="440"/>
    <x v="4"/>
    <x v="443"/>
    <n v="19.521047708138447"/>
    <m/>
  </r>
  <r>
    <x v="0"/>
    <x v="0"/>
    <s v="Syrup"/>
    <s v="250 mg"/>
    <n v="30"/>
    <n v="1480"/>
    <s v="$28254"/>
    <x v="173"/>
    <x v="2"/>
    <x v="441"/>
    <x v="4"/>
    <x v="444"/>
    <n v="19.090540540540541"/>
    <m/>
  </r>
  <r>
    <x v="1"/>
    <x v="0"/>
    <s v="Injection"/>
    <s v="50 mg"/>
    <s v="100 ml"/>
    <n v="1744"/>
    <s v="$47553"/>
    <x v="257"/>
    <x v="4"/>
    <x v="442"/>
    <x v="4"/>
    <x v="445"/>
    <n v="27.266628440366972"/>
    <m/>
  </r>
  <r>
    <x v="1"/>
    <x v="3"/>
    <s v="Injection"/>
    <s v="250 mg"/>
    <n v="30"/>
    <n v="343"/>
    <s v="$15580"/>
    <x v="38"/>
    <x v="2"/>
    <x v="443"/>
    <x v="0"/>
    <x v="446"/>
    <n v="45.422740524781339"/>
    <m/>
  </r>
  <r>
    <x v="1"/>
    <x v="2"/>
    <s v="Cream"/>
    <s v="100 mg/ml"/>
    <s v="50 g"/>
    <n v="1448"/>
    <s v="$36442"/>
    <x v="258"/>
    <x v="4"/>
    <x v="444"/>
    <x v="0"/>
    <x v="447"/>
    <n v="25.167127071823206"/>
    <m/>
  </r>
  <r>
    <x v="3"/>
    <x v="4"/>
    <s v="Injection"/>
    <s v="100 mg/ml"/>
    <s v="50 g"/>
    <n v="1484"/>
    <s v="$24252"/>
    <x v="15"/>
    <x v="2"/>
    <x v="445"/>
    <x v="2"/>
    <x v="448"/>
    <n v="16.342318059299192"/>
    <m/>
  </r>
  <r>
    <x v="2"/>
    <x v="4"/>
    <s v="Injection"/>
    <s v="100 mg/ml"/>
    <s v="50 g"/>
    <n v="646"/>
    <s v="$39816"/>
    <x v="259"/>
    <x v="0"/>
    <x v="446"/>
    <x v="4"/>
    <x v="449"/>
    <n v="61.634674922600617"/>
    <m/>
  </r>
  <r>
    <x v="0"/>
    <x v="0"/>
    <s v="Injection"/>
    <s v="500 mg"/>
    <s v="100 ml"/>
    <n v="873"/>
    <s v="$19598"/>
    <x v="124"/>
    <x v="0"/>
    <x v="447"/>
    <x v="0"/>
    <x v="450"/>
    <n v="22.449026345933561"/>
    <m/>
  </r>
  <r>
    <x v="4"/>
    <x v="4"/>
    <s v="Injection"/>
    <s v="500 mg"/>
    <s v="10 ml"/>
    <n v="507"/>
    <s v="$2658"/>
    <x v="250"/>
    <x v="3"/>
    <x v="448"/>
    <x v="0"/>
    <x v="451"/>
    <n v="5.2426035502958577"/>
    <m/>
  </r>
  <r>
    <x v="1"/>
    <x v="4"/>
    <s v="Injection"/>
    <s v="100 mg/ml"/>
    <n v="30"/>
    <n v="1465"/>
    <s v="$22742"/>
    <x v="68"/>
    <x v="4"/>
    <x v="449"/>
    <x v="0"/>
    <x v="452"/>
    <n v="15.523549488054607"/>
    <m/>
  </r>
  <r>
    <x v="0"/>
    <x v="4"/>
    <s v="Tablet"/>
    <s v="250 mg"/>
    <s v="50 g"/>
    <n v="917"/>
    <s v="$16758"/>
    <x v="16"/>
    <x v="3"/>
    <x v="450"/>
    <x v="1"/>
    <x v="453"/>
    <n v="18.274809160305342"/>
    <m/>
  </r>
  <r>
    <x v="1"/>
    <x v="0"/>
    <s v="Cream"/>
    <s v="500 mg"/>
    <s v="50 g"/>
    <n v="450"/>
    <s v="$4842"/>
    <x v="161"/>
    <x v="2"/>
    <x v="451"/>
    <x v="2"/>
    <x v="454"/>
    <n v="10.76"/>
    <m/>
  </r>
  <r>
    <x v="4"/>
    <x v="2"/>
    <s v="Syrup"/>
    <s v="100 mg/ml"/>
    <n v="60"/>
    <n v="1036"/>
    <s v="$28098"/>
    <x v="37"/>
    <x v="0"/>
    <x v="452"/>
    <x v="0"/>
    <x v="455"/>
    <n v="27.121621621621621"/>
    <m/>
  </r>
  <r>
    <x v="4"/>
    <x v="0"/>
    <s v="Tablet"/>
    <s v="50 mg"/>
    <n v="30"/>
    <n v="355"/>
    <s v="$16758"/>
    <x v="212"/>
    <x v="2"/>
    <x v="453"/>
    <x v="3"/>
    <x v="453"/>
    <n v="47.205633802816898"/>
    <m/>
  </r>
  <r>
    <x v="1"/>
    <x v="3"/>
    <s v="Capsule"/>
    <s v="10 mg"/>
    <s v="10 ml"/>
    <n v="159"/>
    <s v="$10132"/>
    <x v="234"/>
    <x v="4"/>
    <x v="454"/>
    <x v="2"/>
    <x v="456"/>
    <n v="63.723270440251575"/>
    <m/>
  </r>
  <r>
    <x v="2"/>
    <x v="2"/>
    <s v="Injection"/>
    <s v="100 mg/ml"/>
    <n v="30"/>
    <n v="1835"/>
    <s v="$48131"/>
    <x v="161"/>
    <x v="0"/>
    <x v="455"/>
    <x v="2"/>
    <x v="457"/>
    <n v="26.22942779291553"/>
    <m/>
  </r>
  <r>
    <x v="1"/>
    <x v="3"/>
    <s v="Tablet"/>
    <s v="50 mg"/>
    <n v="30"/>
    <n v="345"/>
    <s v="$23783"/>
    <x v="260"/>
    <x v="4"/>
    <x v="456"/>
    <x v="3"/>
    <x v="458"/>
    <n v="68.936231884057975"/>
    <m/>
  </r>
  <r>
    <x v="2"/>
    <x v="4"/>
    <s v="Capsule"/>
    <s v="100 mg/ml"/>
    <n v="30"/>
    <n v="1701"/>
    <s v="$38134"/>
    <x v="261"/>
    <x v="4"/>
    <x v="457"/>
    <x v="0"/>
    <x v="459"/>
    <n v="22.418577307466197"/>
    <m/>
  </r>
  <r>
    <x v="2"/>
    <x v="1"/>
    <s v="Capsule"/>
    <s v="10 mg"/>
    <n v="30"/>
    <n v="966"/>
    <s v="$29754"/>
    <x v="262"/>
    <x v="4"/>
    <x v="458"/>
    <x v="2"/>
    <x v="460"/>
    <n v="30.801242236024844"/>
    <m/>
  </r>
  <r>
    <x v="3"/>
    <x v="1"/>
    <s v="Cream"/>
    <s v="50 mg"/>
    <s v="50 g"/>
    <n v="1876"/>
    <s v="$35523"/>
    <x v="44"/>
    <x v="4"/>
    <x v="459"/>
    <x v="2"/>
    <x v="461"/>
    <n v="18.93550106609808"/>
    <m/>
  </r>
  <r>
    <x v="4"/>
    <x v="4"/>
    <s v="Tablet"/>
    <s v="10 mg"/>
    <s v="100 ml"/>
    <n v="1589"/>
    <s v="$39611"/>
    <x v="263"/>
    <x v="0"/>
    <x v="460"/>
    <x v="1"/>
    <x v="462"/>
    <n v="24.928256765261171"/>
    <m/>
  </r>
  <r>
    <x v="1"/>
    <x v="4"/>
    <s v="Syrup"/>
    <s v="100 mg/ml"/>
    <n v="60"/>
    <n v="1236"/>
    <s v="$5976"/>
    <x v="113"/>
    <x v="2"/>
    <x v="461"/>
    <x v="4"/>
    <x v="463"/>
    <n v="4.8349514563106792"/>
    <m/>
  </r>
  <r>
    <x v="4"/>
    <x v="0"/>
    <s v="Capsule"/>
    <s v="100 mg/ml"/>
    <n v="30"/>
    <n v="406"/>
    <s v="$19800"/>
    <x v="90"/>
    <x v="0"/>
    <x v="462"/>
    <x v="3"/>
    <x v="464"/>
    <n v="48.768472906403943"/>
    <m/>
  </r>
  <r>
    <x v="1"/>
    <x v="0"/>
    <s v="Capsule"/>
    <s v="250 mg"/>
    <n v="60"/>
    <n v="1477"/>
    <s v="$42087"/>
    <x v="159"/>
    <x v="4"/>
    <x v="463"/>
    <x v="2"/>
    <x v="465"/>
    <n v="28.494922139471903"/>
    <m/>
  </r>
  <r>
    <x v="2"/>
    <x v="3"/>
    <s v="Syrup"/>
    <s v="100 mg/ml"/>
    <s v="100 ml"/>
    <n v="1684"/>
    <s v="$49229"/>
    <x v="72"/>
    <x v="3"/>
    <x v="464"/>
    <x v="3"/>
    <x v="466"/>
    <n v="29.233372921615203"/>
    <m/>
  </r>
  <r>
    <x v="2"/>
    <x v="3"/>
    <s v="Cream"/>
    <s v="100 mg/ml"/>
    <s v="50 g"/>
    <n v="849"/>
    <s v="$45151"/>
    <x v="264"/>
    <x v="3"/>
    <x v="465"/>
    <x v="3"/>
    <x v="467"/>
    <n v="53.181389870435808"/>
    <m/>
  </r>
  <r>
    <x v="3"/>
    <x v="1"/>
    <s v="Tablet"/>
    <s v="500 mg"/>
    <s v="50 g"/>
    <n v="849"/>
    <s v="$39729"/>
    <x v="265"/>
    <x v="0"/>
    <x v="466"/>
    <x v="2"/>
    <x v="468"/>
    <n v="46.795053003533567"/>
    <m/>
  </r>
  <r>
    <x v="4"/>
    <x v="0"/>
    <s v="Capsule"/>
    <s v="50 mg"/>
    <n v="30"/>
    <n v="1743"/>
    <s v="$11137"/>
    <x v="59"/>
    <x v="2"/>
    <x v="467"/>
    <x v="0"/>
    <x v="469"/>
    <n v="6.3895582329317273"/>
    <m/>
  </r>
  <r>
    <x v="1"/>
    <x v="4"/>
    <s v="Injection"/>
    <s v="10 mg"/>
    <s v="50 g"/>
    <n v="359"/>
    <s v="$14269"/>
    <x v="43"/>
    <x v="4"/>
    <x v="468"/>
    <x v="4"/>
    <x v="470"/>
    <n v="39.746518105849582"/>
    <m/>
  </r>
  <r>
    <x v="0"/>
    <x v="4"/>
    <s v="Tablet"/>
    <s v="100 mg/ml"/>
    <s v="100 ml"/>
    <n v="573"/>
    <s v="$4115"/>
    <x v="266"/>
    <x v="0"/>
    <x v="469"/>
    <x v="4"/>
    <x v="471"/>
    <n v="7.1815008726003491"/>
    <m/>
  </r>
  <r>
    <x v="0"/>
    <x v="0"/>
    <s v="Cream"/>
    <s v="500 mg"/>
    <s v="10 ml"/>
    <n v="1330"/>
    <s v="$28423"/>
    <x v="111"/>
    <x v="0"/>
    <x v="470"/>
    <x v="2"/>
    <x v="472"/>
    <n v="21.370676691729322"/>
    <m/>
  </r>
  <r>
    <x v="1"/>
    <x v="4"/>
    <s v="Tablet"/>
    <s v="100 mg/ml"/>
    <n v="30"/>
    <n v="1087"/>
    <s v="$15485"/>
    <x v="144"/>
    <x v="2"/>
    <x v="471"/>
    <x v="4"/>
    <x v="473"/>
    <n v="14.245630174793009"/>
    <m/>
  </r>
  <r>
    <x v="0"/>
    <x v="0"/>
    <s v="Capsule"/>
    <s v="50 mg"/>
    <s v="100 ml"/>
    <n v="404"/>
    <s v="$8798"/>
    <x v="267"/>
    <x v="2"/>
    <x v="472"/>
    <x v="4"/>
    <x v="474"/>
    <n v="21.777227722772277"/>
    <m/>
  </r>
  <r>
    <x v="3"/>
    <x v="1"/>
    <s v="Cream"/>
    <s v="250 mg"/>
    <n v="60"/>
    <n v="1641"/>
    <s v="$4850"/>
    <x v="165"/>
    <x v="4"/>
    <x v="473"/>
    <x v="1"/>
    <x v="475"/>
    <n v="2.9555149299207799"/>
    <m/>
  </r>
  <r>
    <x v="4"/>
    <x v="1"/>
    <s v="Capsule"/>
    <s v="500 mg"/>
    <s v="50 g"/>
    <n v="1013"/>
    <s v="$38304"/>
    <x v="268"/>
    <x v="3"/>
    <x v="474"/>
    <x v="2"/>
    <x v="476"/>
    <n v="37.812438302073048"/>
    <m/>
  </r>
  <r>
    <x v="1"/>
    <x v="4"/>
    <s v="Injection"/>
    <s v="10 mg"/>
    <s v="10 ml"/>
    <n v="434"/>
    <s v="$32258"/>
    <x v="94"/>
    <x v="4"/>
    <x v="475"/>
    <x v="0"/>
    <x v="477"/>
    <n v="74.327188940092171"/>
    <m/>
  </r>
  <r>
    <x v="4"/>
    <x v="3"/>
    <s v="Injection"/>
    <s v="50 mg"/>
    <n v="30"/>
    <n v="857"/>
    <s v="$25111"/>
    <x v="131"/>
    <x v="4"/>
    <x v="476"/>
    <x v="1"/>
    <x v="478"/>
    <n v="29.301050175029172"/>
    <m/>
  </r>
  <r>
    <x v="1"/>
    <x v="2"/>
    <s v="Cream"/>
    <s v="250 mg"/>
    <n v="30"/>
    <n v="1215"/>
    <s v="$3802"/>
    <x v="269"/>
    <x v="0"/>
    <x v="477"/>
    <x v="4"/>
    <x v="479"/>
    <n v="3.1292181069958849"/>
    <m/>
  </r>
  <r>
    <x v="1"/>
    <x v="3"/>
    <s v="Injection"/>
    <s v="250 mg"/>
    <n v="60"/>
    <n v="1206"/>
    <s v="$30473"/>
    <x v="112"/>
    <x v="2"/>
    <x v="478"/>
    <x v="1"/>
    <x v="480"/>
    <n v="25.267827529021559"/>
    <m/>
  </r>
  <r>
    <x v="3"/>
    <x v="2"/>
    <s v="Cream"/>
    <s v="100 mg/ml"/>
    <s v="50 g"/>
    <n v="1028"/>
    <s v="$26345"/>
    <x v="228"/>
    <x v="3"/>
    <x v="479"/>
    <x v="0"/>
    <x v="481"/>
    <n v="25.627431906614785"/>
    <m/>
  </r>
  <r>
    <x v="0"/>
    <x v="1"/>
    <s v="Syrup"/>
    <s v="100 mg/ml"/>
    <s v="100 ml"/>
    <n v="1821"/>
    <s v="$49772"/>
    <x v="118"/>
    <x v="3"/>
    <x v="480"/>
    <x v="0"/>
    <x v="482"/>
    <n v="27.332235035694673"/>
    <m/>
  </r>
  <r>
    <x v="4"/>
    <x v="4"/>
    <s v="Capsule"/>
    <s v="100 mg/ml"/>
    <s v="100 ml"/>
    <n v="187"/>
    <s v="$33824"/>
    <x v="92"/>
    <x v="4"/>
    <x v="481"/>
    <x v="4"/>
    <x v="483"/>
    <n v="180.87700534759358"/>
    <m/>
  </r>
  <r>
    <x v="3"/>
    <x v="4"/>
    <s v="Capsule"/>
    <s v="250 mg"/>
    <s v="10 ml"/>
    <n v="1978"/>
    <s v="$10298"/>
    <x v="226"/>
    <x v="0"/>
    <x v="482"/>
    <x v="3"/>
    <x v="484"/>
    <n v="5.2062689585439834"/>
    <m/>
  </r>
  <r>
    <x v="4"/>
    <x v="0"/>
    <s v="Tablet"/>
    <s v="50 mg"/>
    <s v="50 g"/>
    <n v="310"/>
    <s v="$8780"/>
    <x v="270"/>
    <x v="0"/>
    <x v="483"/>
    <x v="4"/>
    <x v="485"/>
    <n v="28.322580645161292"/>
    <m/>
  </r>
  <r>
    <x v="2"/>
    <x v="2"/>
    <s v="Capsule"/>
    <s v="500 mg"/>
    <n v="30"/>
    <n v="1232"/>
    <s v="$14892"/>
    <x v="271"/>
    <x v="1"/>
    <x v="484"/>
    <x v="0"/>
    <x v="486"/>
    <n v="12.087662337662337"/>
    <m/>
  </r>
  <r>
    <x v="1"/>
    <x v="0"/>
    <s v="Tablet"/>
    <s v="100 mg/ml"/>
    <s v="100 ml"/>
    <n v="1147"/>
    <s v="$31546"/>
    <x v="13"/>
    <x v="0"/>
    <x v="485"/>
    <x v="4"/>
    <x v="487"/>
    <n v="27.503051438535309"/>
    <m/>
  </r>
  <r>
    <x v="4"/>
    <x v="2"/>
    <s v="Capsule"/>
    <s v="10 mg"/>
    <n v="60"/>
    <n v="157"/>
    <s v="$25507"/>
    <x v="272"/>
    <x v="2"/>
    <x v="486"/>
    <x v="4"/>
    <x v="488"/>
    <n v="162.46496815286625"/>
    <m/>
  </r>
  <r>
    <x v="3"/>
    <x v="1"/>
    <s v="Capsule"/>
    <s v="100 mg/ml"/>
    <n v="30"/>
    <n v="110"/>
    <s v="$48715"/>
    <x v="28"/>
    <x v="0"/>
    <x v="487"/>
    <x v="0"/>
    <x v="489"/>
    <n v="442.86363636363637"/>
    <m/>
  </r>
  <r>
    <x v="2"/>
    <x v="2"/>
    <s v="Injection"/>
    <s v="50 mg"/>
    <s v="100 ml"/>
    <n v="1496"/>
    <s v="$30359"/>
    <x v="33"/>
    <x v="3"/>
    <x v="488"/>
    <x v="3"/>
    <x v="490"/>
    <n v="20.293449197860962"/>
    <m/>
  </r>
  <r>
    <x v="4"/>
    <x v="2"/>
    <s v="Syrup"/>
    <s v="50 mg"/>
    <s v="50 g"/>
    <n v="1677"/>
    <s v="$14519"/>
    <x v="72"/>
    <x v="1"/>
    <x v="489"/>
    <x v="0"/>
    <x v="491"/>
    <n v="8.6577221228384023"/>
    <m/>
  </r>
  <r>
    <x v="2"/>
    <x v="3"/>
    <s v="Syrup"/>
    <s v="10 mg"/>
    <n v="30"/>
    <n v="103"/>
    <s v="$39963"/>
    <x v="189"/>
    <x v="4"/>
    <x v="490"/>
    <x v="4"/>
    <x v="492"/>
    <n v="387.99029126213594"/>
    <m/>
  </r>
  <r>
    <x v="4"/>
    <x v="0"/>
    <s v="Cream"/>
    <s v="250 mg"/>
    <n v="30"/>
    <n v="621"/>
    <s v="$14108"/>
    <x v="175"/>
    <x v="1"/>
    <x v="491"/>
    <x v="2"/>
    <x v="493"/>
    <n v="22.718196457326894"/>
    <m/>
  </r>
  <r>
    <x v="0"/>
    <x v="2"/>
    <s v="Tablet"/>
    <s v="500 mg"/>
    <n v="30"/>
    <n v="467"/>
    <s v="$42438"/>
    <x v="32"/>
    <x v="4"/>
    <x v="492"/>
    <x v="1"/>
    <x v="494"/>
    <n v="90.873661670235549"/>
    <m/>
  </r>
  <r>
    <x v="3"/>
    <x v="2"/>
    <s v="Syrup"/>
    <s v="50 mg"/>
    <n v="60"/>
    <n v="528"/>
    <s v="$12478"/>
    <x v="209"/>
    <x v="2"/>
    <x v="493"/>
    <x v="2"/>
    <x v="495"/>
    <n v="23.632575757575758"/>
    <m/>
  </r>
  <r>
    <x v="0"/>
    <x v="3"/>
    <s v="Syrup"/>
    <s v="100 mg/ml"/>
    <n v="30"/>
    <n v="651"/>
    <s v="$43294"/>
    <x v="55"/>
    <x v="1"/>
    <x v="494"/>
    <x v="2"/>
    <x v="496"/>
    <n v="66.503840245775734"/>
    <m/>
  </r>
  <r>
    <x v="2"/>
    <x v="3"/>
    <s v="Capsule"/>
    <s v="250 mg"/>
    <s v="100 ml"/>
    <n v="213"/>
    <s v="$41727"/>
    <x v="142"/>
    <x v="2"/>
    <x v="495"/>
    <x v="3"/>
    <x v="497"/>
    <n v="195.90140845070422"/>
    <m/>
  </r>
  <r>
    <x v="3"/>
    <x v="3"/>
    <s v="Cream"/>
    <s v="250 mg"/>
    <s v="50 g"/>
    <n v="1808"/>
    <s v="$18900"/>
    <x v="123"/>
    <x v="2"/>
    <x v="496"/>
    <x v="1"/>
    <x v="498"/>
    <n v="10.45353982300885"/>
    <m/>
  </r>
  <r>
    <x v="0"/>
    <x v="4"/>
    <s v="Tablet"/>
    <s v="100 mg/ml"/>
    <n v="30"/>
    <n v="979"/>
    <s v="$33935"/>
    <x v="119"/>
    <x v="3"/>
    <x v="497"/>
    <x v="3"/>
    <x v="499"/>
    <n v="34.662921348314605"/>
    <m/>
  </r>
  <r>
    <x v="1"/>
    <x v="0"/>
    <s v="Injection"/>
    <s v="100 mg/ml"/>
    <s v="10 ml"/>
    <n v="903"/>
    <s v="$29491"/>
    <x v="231"/>
    <x v="1"/>
    <x v="498"/>
    <x v="3"/>
    <x v="500"/>
    <n v="32.65891472868217"/>
    <m/>
  </r>
  <r>
    <x v="4"/>
    <x v="4"/>
    <s v="Tablet"/>
    <s v="500 mg"/>
    <s v="10 ml"/>
    <n v="1873"/>
    <s v="$47958"/>
    <x v="273"/>
    <x v="0"/>
    <x v="499"/>
    <x v="1"/>
    <x v="501"/>
    <n v="25.604911906033102"/>
    <m/>
  </r>
  <r>
    <x v="4"/>
    <x v="1"/>
    <s v="Syrup"/>
    <s v="100 mg/ml"/>
    <n v="30"/>
    <n v="1575"/>
    <s v="$39809"/>
    <x v="169"/>
    <x v="2"/>
    <x v="500"/>
    <x v="0"/>
    <x v="502"/>
    <n v="25.275555555555556"/>
    <m/>
  </r>
  <r>
    <x v="3"/>
    <x v="2"/>
    <s v="Tablet"/>
    <s v="50 mg"/>
    <n v="60"/>
    <n v="1178"/>
    <s v="$26564"/>
    <x v="57"/>
    <x v="2"/>
    <x v="501"/>
    <x v="3"/>
    <x v="503"/>
    <n v="22.550084889643465"/>
    <m/>
  </r>
  <r>
    <x v="2"/>
    <x v="3"/>
    <s v="Syrup"/>
    <s v="10 mg"/>
    <n v="30"/>
    <n v="136"/>
    <s v="$28942"/>
    <x v="274"/>
    <x v="3"/>
    <x v="502"/>
    <x v="4"/>
    <x v="504"/>
    <n v="212.80882352941177"/>
    <m/>
  </r>
  <r>
    <x v="2"/>
    <x v="0"/>
    <s v="Tablet"/>
    <s v="250 mg"/>
    <s v="50 g"/>
    <n v="177"/>
    <s v="$38415"/>
    <x v="179"/>
    <x v="3"/>
    <x v="503"/>
    <x v="4"/>
    <x v="505"/>
    <n v="217.03389830508473"/>
    <m/>
  </r>
  <r>
    <x v="2"/>
    <x v="2"/>
    <s v="Capsule"/>
    <s v="500 mg"/>
    <s v="10 ml"/>
    <n v="267"/>
    <s v="$37982"/>
    <x v="152"/>
    <x v="1"/>
    <x v="504"/>
    <x v="3"/>
    <x v="506"/>
    <n v="142.25468164794009"/>
    <m/>
  </r>
  <r>
    <x v="3"/>
    <x v="3"/>
    <s v="Syrup"/>
    <s v="10 mg"/>
    <s v="10 ml"/>
    <n v="539"/>
    <s v="$28332"/>
    <x v="198"/>
    <x v="0"/>
    <x v="505"/>
    <x v="1"/>
    <x v="507"/>
    <n v="52.564007421150279"/>
    <m/>
  </r>
  <r>
    <x v="0"/>
    <x v="3"/>
    <s v="Cream"/>
    <s v="100 mg/ml"/>
    <s v="100 ml"/>
    <n v="1637"/>
    <s v="$28078"/>
    <x v="275"/>
    <x v="0"/>
    <x v="506"/>
    <x v="2"/>
    <x v="508"/>
    <n v="17.152107513744657"/>
    <m/>
  </r>
  <r>
    <x v="1"/>
    <x v="2"/>
    <s v="Injection"/>
    <s v="100 mg/ml"/>
    <s v="50 g"/>
    <n v="895"/>
    <s v="$1117"/>
    <x v="188"/>
    <x v="1"/>
    <x v="507"/>
    <x v="1"/>
    <x v="509"/>
    <n v="1.2480446927374302"/>
    <m/>
  </r>
  <r>
    <x v="3"/>
    <x v="4"/>
    <s v="Syrup"/>
    <s v="100 mg/ml"/>
    <s v="50 g"/>
    <n v="545"/>
    <s v="$7812"/>
    <x v="20"/>
    <x v="1"/>
    <x v="508"/>
    <x v="0"/>
    <x v="510"/>
    <n v="14.333944954128441"/>
    <m/>
  </r>
  <r>
    <x v="4"/>
    <x v="3"/>
    <s v="Syrup"/>
    <s v="10 mg"/>
    <n v="60"/>
    <n v="809"/>
    <s v="$34972"/>
    <x v="265"/>
    <x v="2"/>
    <x v="509"/>
    <x v="1"/>
    <x v="259"/>
    <n v="43.228677379480843"/>
    <m/>
  </r>
  <r>
    <x v="1"/>
    <x v="1"/>
    <s v="Capsule"/>
    <s v="50 mg"/>
    <s v="50 g"/>
    <n v="251"/>
    <s v="$33441"/>
    <x v="276"/>
    <x v="3"/>
    <x v="510"/>
    <x v="2"/>
    <x v="511"/>
    <n v="133.23107569721117"/>
    <m/>
  </r>
  <r>
    <x v="4"/>
    <x v="1"/>
    <s v="Cream"/>
    <s v="100 mg/ml"/>
    <s v="50 g"/>
    <n v="954"/>
    <s v="$6130"/>
    <x v="277"/>
    <x v="1"/>
    <x v="511"/>
    <x v="2"/>
    <x v="512"/>
    <n v="6.4255765199161425"/>
    <m/>
  </r>
  <r>
    <x v="0"/>
    <x v="2"/>
    <s v="Syrup"/>
    <s v="500 mg"/>
    <s v="50 g"/>
    <n v="1105"/>
    <s v="$9186"/>
    <x v="199"/>
    <x v="4"/>
    <x v="512"/>
    <x v="1"/>
    <x v="513"/>
    <n v="8.313122171945702"/>
    <m/>
  </r>
  <r>
    <x v="3"/>
    <x v="4"/>
    <s v="Capsule"/>
    <s v="50 mg"/>
    <s v="50 g"/>
    <n v="280"/>
    <s v="$41256"/>
    <x v="278"/>
    <x v="2"/>
    <x v="513"/>
    <x v="2"/>
    <x v="514"/>
    <n v="147.34285714285716"/>
    <m/>
  </r>
  <r>
    <x v="2"/>
    <x v="4"/>
    <s v="Syrup"/>
    <s v="250 mg"/>
    <n v="30"/>
    <n v="357"/>
    <s v="$2350"/>
    <x v="279"/>
    <x v="0"/>
    <x v="514"/>
    <x v="3"/>
    <x v="515"/>
    <n v="6.5826330532212882"/>
    <m/>
  </r>
  <r>
    <x v="0"/>
    <x v="2"/>
    <s v="Cream"/>
    <s v="50 mg"/>
    <n v="60"/>
    <n v="1476"/>
    <s v="$21861"/>
    <x v="280"/>
    <x v="2"/>
    <x v="515"/>
    <x v="2"/>
    <x v="516"/>
    <n v="14.810975609756097"/>
    <m/>
  </r>
  <r>
    <x v="1"/>
    <x v="2"/>
    <s v="Cream"/>
    <s v="10 mg"/>
    <s v="100 ml"/>
    <n v="1448"/>
    <s v="$37724"/>
    <x v="50"/>
    <x v="3"/>
    <x v="516"/>
    <x v="0"/>
    <x v="517"/>
    <n v="26.052486187845304"/>
    <m/>
  </r>
  <r>
    <x v="4"/>
    <x v="3"/>
    <s v="Syrup"/>
    <s v="100 mg/ml"/>
    <s v="50 g"/>
    <n v="1191"/>
    <s v="$27570"/>
    <x v="239"/>
    <x v="3"/>
    <x v="517"/>
    <x v="1"/>
    <x v="518"/>
    <n v="23.148614609571787"/>
    <m/>
  </r>
  <r>
    <x v="0"/>
    <x v="1"/>
    <s v="Cream"/>
    <s v="250 mg"/>
    <s v="50 g"/>
    <n v="451"/>
    <s v="$18899"/>
    <x v="126"/>
    <x v="4"/>
    <x v="518"/>
    <x v="2"/>
    <x v="519"/>
    <n v="41.904656319290467"/>
    <m/>
  </r>
  <r>
    <x v="0"/>
    <x v="0"/>
    <s v="Capsule"/>
    <s v="50 mg"/>
    <n v="60"/>
    <n v="1978"/>
    <s v="$23993"/>
    <x v="206"/>
    <x v="3"/>
    <x v="114"/>
    <x v="2"/>
    <x v="520"/>
    <n v="12.129929221435793"/>
    <m/>
  </r>
  <r>
    <x v="4"/>
    <x v="2"/>
    <s v="Injection"/>
    <s v="10 mg"/>
    <s v="100 ml"/>
    <n v="403"/>
    <s v="$4075"/>
    <x v="88"/>
    <x v="0"/>
    <x v="519"/>
    <x v="1"/>
    <x v="521"/>
    <n v="10.11166253101737"/>
    <m/>
  </r>
  <r>
    <x v="4"/>
    <x v="1"/>
    <s v="Cream"/>
    <s v="10 mg"/>
    <s v="50 g"/>
    <n v="309"/>
    <s v="$38835"/>
    <x v="30"/>
    <x v="4"/>
    <x v="520"/>
    <x v="1"/>
    <x v="412"/>
    <n v="125.67961165048544"/>
    <m/>
  </r>
  <r>
    <x v="2"/>
    <x v="0"/>
    <s v="Injection"/>
    <s v="10 mg"/>
    <s v="10 ml"/>
    <n v="1448"/>
    <s v="$13865"/>
    <x v="50"/>
    <x v="0"/>
    <x v="521"/>
    <x v="4"/>
    <x v="522"/>
    <n v="9.5752762430939224"/>
    <m/>
  </r>
  <r>
    <x v="4"/>
    <x v="0"/>
    <s v="Cream"/>
    <s v="100 mg/ml"/>
    <s v="50 g"/>
    <n v="704"/>
    <s v="$12836"/>
    <x v="168"/>
    <x v="1"/>
    <x v="522"/>
    <x v="0"/>
    <x v="523"/>
    <n v="18.232954545454547"/>
    <m/>
  </r>
  <r>
    <x v="0"/>
    <x v="3"/>
    <s v="Syrup"/>
    <s v="10 mg"/>
    <n v="30"/>
    <n v="165"/>
    <s v="$32484"/>
    <x v="187"/>
    <x v="1"/>
    <x v="523"/>
    <x v="2"/>
    <x v="524"/>
    <n v="196.87272727272727"/>
    <m/>
  </r>
  <r>
    <x v="0"/>
    <x v="0"/>
    <s v="Capsule"/>
    <s v="250 mg"/>
    <s v="10 ml"/>
    <n v="1824"/>
    <s v="$12594"/>
    <x v="26"/>
    <x v="0"/>
    <x v="524"/>
    <x v="1"/>
    <x v="525"/>
    <n v="6.9046052631578947"/>
    <m/>
  </r>
  <r>
    <x v="3"/>
    <x v="3"/>
    <s v="Tablet"/>
    <s v="50 mg"/>
    <s v="10 ml"/>
    <n v="1553"/>
    <s v="$35920"/>
    <x v="233"/>
    <x v="3"/>
    <x v="525"/>
    <x v="2"/>
    <x v="526"/>
    <n v="23.129426915647134"/>
    <m/>
  </r>
  <r>
    <x v="1"/>
    <x v="0"/>
    <s v="Tablet"/>
    <s v="250 mg"/>
    <n v="30"/>
    <n v="1114"/>
    <s v="$45080"/>
    <x v="235"/>
    <x v="1"/>
    <x v="526"/>
    <x v="1"/>
    <x v="527"/>
    <n v="40.466786355475762"/>
    <m/>
  </r>
  <r>
    <x v="2"/>
    <x v="3"/>
    <s v="Cream"/>
    <s v="100 mg/ml"/>
    <n v="60"/>
    <n v="1746"/>
    <s v="$7097"/>
    <x v="43"/>
    <x v="2"/>
    <x v="527"/>
    <x v="4"/>
    <x v="528"/>
    <n v="4.0647193585337913"/>
    <m/>
  </r>
  <r>
    <x v="4"/>
    <x v="2"/>
    <s v="Capsule"/>
    <s v="10 mg"/>
    <n v="30"/>
    <n v="1468"/>
    <s v="$32272"/>
    <x v="161"/>
    <x v="0"/>
    <x v="528"/>
    <x v="4"/>
    <x v="529"/>
    <n v="21.983651226158038"/>
    <m/>
  </r>
  <r>
    <x v="0"/>
    <x v="2"/>
    <s v="Injection"/>
    <s v="500 mg"/>
    <s v="50 g"/>
    <n v="230"/>
    <s v="$41305"/>
    <x v="281"/>
    <x v="3"/>
    <x v="529"/>
    <x v="0"/>
    <x v="530"/>
    <n v="179.58695652173913"/>
    <m/>
  </r>
  <r>
    <x v="1"/>
    <x v="1"/>
    <s v="Capsule"/>
    <s v="500 mg"/>
    <s v="50 g"/>
    <n v="776"/>
    <s v="$6165"/>
    <x v="32"/>
    <x v="2"/>
    <x v="530"/>
    <x v="1"/>
    <x v="531"/>
    <n v="7.9445876288659791"/>
    <m/>
  </r>
  <r>
    <x v="1"/>
    <x v="0"/>
    <s v="Tablet"/>
    <s v="500 mg"/>
    <s v="50 g"/>
    <n v="1071"/>
    <s v="$3760"/>
    <x v="186"/>
    <x v="3"/>
    <x v="531"/>
    <x v="1"/>
    <x v="532"/>
    <n v="3.5107376283846872"/>
    <m/>
  </r>
  <r>
    <x v="0"/>
    <x v="4"/>
    <s v="Capsule"/>
    <s v="500 mg"/>
    <s v="50 g"/>
    <n v="1137"/>
    <s v="$1699"/>
    <x v="142"/>
    <x v="3"/>
    <x v="532"/>
    <x v="4"/>
    <x v="533"/>
    <n v="1.494283201407212"/>
    <m/>
  </r>
  <r>
    <x v="3"/>
    <x v="3"/>
    <s v="Capsule"/>
    <s v="10 mg"/>
    <n v="60"/>
    <n v="787"/>
    <s v="$47912"/>
    <x v="78"/>
    <x v="0"/>
    <x v="533"/>
    <x v="3"/>
    <x v="534"/>
    <n v="60.879288437102922"/>
    <m/>
  </r>
  <r>
    <x v="4"/>
    <x v="3"/>
    <s v="Injection"/>
    <s v="250 mg"/>
    <n v="30"/>
    <n v="1479"/>
    <s v="$33505"/>
    <x v="282"/>
    <x v="0"/>
    <x v="534"/>
    <x v="2"/>
    <x v="535"/>
    <n v="22.653820148749155"/>
    <m/>
  </r>
  <r>
    <x v="2"/>
    <x v="2"/>
    <s v="Capsule"/>
    <s v="500 mg"/>
    <s v="100 ml"/>
    <n v="405"/>
    <s v="$23360"/>
    <x v="82"/>
    <x v="0"/>
    <x v="535"/>
    <x v="3"/>
    <x v="536"/>
    <n v="57.679012345679013"/>
    <m/>
  </r>
  <r>
    <x v="2"/>
    <x v="0"/>
    <s v="Cream"/>
    <s v="50 mg"/>
    <s v="10 ml"/>
    <n v="470"/>
    <s v="$45836"/>
    <x v="114"/>
    <x v="0"/>
    <x v="536"/>
    <x v="3"/>
    <x v="537"/>
    <n v="97.52340425531915"/>
    <m/>
  </r>
  <r>
    <x v="4"/>
    <x v="0"/>
    <s v="Capsule"/>
    <s v="10 mg"/>
    <s v="50 g"/>
    <n v="1864"/>
    <s v="$26663"/>
    <x v="161"/>
    <x v="0"/>
    <x v="537"/>
    <x v="2"/>
    <x v="538"/>
    <n v="14.304184549356224"/>
    <m/>
  </r>
  <r>
    <x v="0"/>
    <x v="1"/>
    <s v="Tablet"/>
    <s v="500 mg"/>
    <s v="50 g"/>
    <n v="1610"/>
    <s v="$22700"/>
    <x v="283"/>
    <x v="3"/>
    <x v="538"/>
    <x v="0"/>
    <x v="539"/>
    <n v="14.099378881987578"/>
    <m/>
  </r>
  <r>
    <x v="3"/>
    <x v="1"/>
    <s v="Cream"/>
    <s v="10 mg"/>
    <s v="10 ml"/>
    <n v="1247"/>
    <s v="$23054"/>
    <x v="51"/>
    <x v="1"/>
    <x v="539"/>
    <x v="1"/>
    <x v="540"/>
    <n v="18.487570168404169"/>
    <m/>
  </r>
  <r>
    <x v="1"/>
    <x v="0"/>
    <s v="Injection"/>
    <s v="50 mg"/>
    <n v="60"/>
    <n v="1515"/>
    <s v="$37393"/>
    <x v="6"/>
    <x v="4"/>
    <x v="540"/>
    <x v="1"/>
    <x v="541"/>
    <n v="24.681848184818481"/>
    <m/>
  </r>
  <r>
    <x v="1"/>
    <x v="1"/>
    <s v="Syrup"/>
    <s v="500 mg"/>
    <n v="30"/>
    <n v="1064"/>
    <s v="$11558"/>
    <x v="129"/>
    <x v="3"/>
    <x v="541"/>
    <x v="3"/>
    <x v="542"/>
    <n v="10.862781954887218"/>
    <m/>
  </r>
  <r>
    <x v="3"/>
    <x v="4"/>
    <s v="Syrup"/>
    <s v="100 mg/ml"/>
    <s v="50 g"/>
    <n v="336"/>
    <s v="$7855"/>
    <x v="163"/>
    <x v="2"/>
    <x v="542"/>
    <x v="4"/>
    <x v="543"/>
    <n v="23.37797619047619"/>
    <m/>
  </r>
  <r>
    <x v="2"/>
    <x v="2"/>
    <s v="Tablet"/>
    <s v="500 mg"/>
    <s v="50 g"/>
    <n v="1334"/>
    <s v="$30566"/>
    <x v="120"/>
    <x v="4"/>
    <x v="543"/>
    <x v="2"/>
    <x v="544"/>
    <n v="22.913043478260871"/>
    <m/>
  </r>
  <r>
    <x v="4"/>
    <x v="1"/>
    <s v="Cream"/>
    <s v="500 mg"/>
    <s v="100 ml"/>
    <n v="472"/>
    <s v="$23247"/>
    <x v="275"/>
    <x v="2"/>
    <x v="544"/>
    <x v="1"/>
    <x v="545"/>
    <n v="49.252118644067799"/>
    <m/>
  </r>
  <r>
    <x v="4"/>
    <x v="2"/>
    <s v="Capsule"/>
    <s v="50 mg"/>
    <s v="100 ml"/>
    <n v="169"/>
    <s v="$18665"/>
    <x v="95"/>
    <x v="3"/>
    <x v="545"/>
    <x v="2"/>
    <x v="546"/>
    <n v="110.44378698224853"/>
    <m/>
  </r>
  <r>
    <x v="2"/>
    <x v="3"/>
    <s v="Syrup"/>
    <s v="100 mg/ml"/>
    <s v="100 ml"/>
    <n v="150"/>
    <s v="$8735"/>
    <x v="93"/>
    <x v="4"/>
    <x v="546"/>
    <x v="4"/>
    <x v="547"/>
    <n v="58.233333333333334"/>
    <m/>
  </r>
  <r>
    <x v="4"/>
    <x v="2"/>
    <s v="Injection"/>
    <s v="100 mg/ml"/>
    <s v="10 ml"/>
    <n v="1503"/>
    <s v="$19148"/>
    <x v="134"/>
    <x v="4"/>
    <x v="547"/>
    <x v="0"/>
    <x v="322"/>
    <n v="12.739853626081171"/>
    <m/>
  </r>
  <r>
    <x v="3"/>
    <x v="1"/>
    <s v="Syrup"/>
    <s v="100 mg/ml"/>
    <s v="50 g"/>
    <n v="355"/>
    <s v="$33093"/>
    <x v="9"/>
    <x v="4"/>
    <x v="548"/>
    <x v="1"/>
    <x v="548"/>
    <n v="93.219718309859161"/>
    <m/>
  </r>
  <r>
    <x v="3"/>
    <x v="0"/>
    <s v="Injection"/>
    <s v="100 mg/ml"/>
    <s v="50 g"/>
    <n v="1215"/>
    <s v="$12727"/>
    <x v="59"/>
    <x v="4"/>
    <x v="549"/>
    <x v="2"/>
    <x v="549"/>
    <n v="10.474897119341565"/>
    <m/>
  </r>
  <r>
    <x v="4"/>
    <x v="2"/>
    <s v="Tablet"/>
    <s v="50 mg"/>
    <s v="50 g"/>
    <n v="857"/>
    <s v="$26479"/>
    <x v="246"/>
    <x v="2"/>
    <x v="550"/>
    <x v="2"/>
    <x v="550"/>
    <n v="30.897316219369895"/>
    <m/>
  </r>
  <r>
    <x v="1"/>
    <x v="0"/>
    <s v="Cream"/>
    <s v="250 mg"/>
    <s v="100 ml"/>
    <n v="914"/>
    <s v="$28345"/>
    <x v="77"/>
    <x v="1"/>
    <x v="551"/>
    <x v="1"/>
    <x v="551"/>
    <n v="31.01203501094092"/>
    <m/>
  </r>
  <r>
    <x v="1"/>
    <x v="2"/>
    <s v="Tablet"/>
    <s v="100 mg/ml"/>
    <s v="100 ml"/>
    <n v="1513"/>
    <s v="$16791"/>
    <x v="100"/>
    <x v="0"/>
    <x v="552"/>
    <x v="4"/>
    <x v="552"/>
    <n v="11.097818902842036"/>
    <m/>
  </r>
  <r>
    <x v="4"/>
    <x v="2"/>
    <s v="Injection"/>
    <s v="500 mg"/>
    <s v="100 ml"/>
    <n v="809"/>
    <s v="$1788"/>
    <x v="280"/>
    <x v="0"/>
    <x v="553"/>
    <x v="3"/>
    <x v="553"/>
    <n v="2.2101359703337455"/>
    <m/>
  </r>
  <r>
    <x v="3"/>
    <x v="1"/>
    <s v="Tablet"/>
    <s v="10 mg"/>
    <s v="10 ml"/>
    <n v="1696"/>
    <s v="$42076"/>
    <x v="124"/>
    <x v="1"/>
    <x v="554"/>
    <x v="2"/>
    <x v="554"/>
    <n v="24.808962264150942"/>
    <m/>
  </r>
  <r>
    <x v="4"/>
    <x v="2"/>
    <s v="Cream"/>
    <s v="500 mg"/>
    <s v="50 g"/>
    <n v="1943"/>
    <s v="$42637"/>
    <x v="83"/>
    <x v="4"/>
    <x v="555"/>
    <x v="3"/>
    <x v="555"/>
    <n v="21.943901183736489"/>
    <m/>
  </r>
  <r>
    <x v="0"/>
    <x v="0"/>
    <s v="Cream"/>
    <s v="100 mg/ml"/>
    <s v="10 ml"/>
    <n v="794"/>
    <s v="$5918"/>
    <x v="32"/>
    <x v="1"/>
    <x v="556"/>
    <x v="1"/>
    <x v="556"/>
    <n v="7.4534005037783375"/>
    <m/>
  </r>
  <r>
    <x v="3"/>
    <x v="3"/>
    <s v="Cream"/>
    <s v="500 mg"/>
    <n v="60"/>
    <n v="601"/>
    <s v="$7096"/>
    <x v="284"/>
    <x v="3"/>
    <x v="557"/>
    <x v="2"/>
    <x v="557"/>
    <n v="11.806988352745424"/>
    <m/>
  </r>
  <r>
    <x v="4"/>
    <x v="0"/>
    <s v="Cream"/>
    <s v="100 mg/ml"/>
    <n v="30"/>
    <n v="1954"/>
    <s v="$14676"/>
    <x v="275"/>
    <x v="1"/>
    <x v="558"/>
    <x v="3"/>
    <x v="558"/>
    <n v="7.5107471852610033"/>
    <m/>
  </r>
  <r>
    <x v="4"/>
    <x v="3"/>
    <s v="Tablet"/>
    <s v="10 mg"/>
    <n v="30"/>
    <n v="301"/>
    <s v="$28337"/>
    <x v="134"/>
    <x v="1"/>
    <x v="559"/>
    <x v="2"/>
    <x v="559"/>
    <n v="94.142857142857139"/>
    <m/>
  </r>
  <r>
    <x v="4"/>
    <x v="4"/>
    <s v="Cream"/>
    <s v="250 mg"/>
    <s v="50 g"/>
    <n v="648"/>
    <s v="$34565"/>
    <x v="85"/>
    <x v="0"/>
    <x v="560"/>
    <x v="3"/>
    <x v="560"/>
    <n v="53.341049382716051"/>
    <m/>
  </r>
  <r>
    <x v="1"/>
    <x v="0"/>
    <s v="Injection"/>
    <s v="10 mg"/>
    <s v="50 g"/>
    <n v="508"/>
    <s v="$9190"/>
    <x v="285"/>
    <x v="1"/>
    <x v="561"/>
    <x v="1"/>
    <x v="561"/>
    <n v="18.090551181102363"/>
    <m/>
  </r>
  <r>
    <x v="1"/>
    <x v="3"/>
    <s v="Injection"/>
    <s v="100 mg/ml"/>
    <n v="30"/>
    <n v="1259"/>
    <s v="$21505"/>
    <x v="153"/>
    <x v="3"/>
    <x v="562"/>
    <x v="3"/>
    <x v="562"/>
    <n v="17.081016679904685"/>
    <m/>
  </r>
  <r>
    <x v="2"/>
    <x v="3"/>
    <s v="Injection"/>
    <s v="100 mg/ml"/>
    <n v="60"/>
    <n v="1922"/>
    <s v="$5404"/>
    <x v="46"/>
    <x v="1"/>
    <x v="563"/>
    <x v="1"/>
    <x v="563"/>
    <n v="2.8116545265348596"/>
    <m/>
  </r>
  <r>
    <x v="2"/>
    <x v="0"/>
    <s v="Tablet"/>
    <s v="100 mg/ml"/>
    <s v="100 ml"/>
    <n v="1769"/>
    <s v="$49043"/>
    <x v="87"/>
    <x v="0"/>
    <x v="564"/>
    <x v="3"/>
    <x v="564"/>
    <n v="27.723572639909552"/>
    <m/>
  </r>
  <r>
    <x v="0"/>
    <x v="3"/>
    <s v="Capsule"/>
    <s v="50 mg"/>
    <s v="100 ml"/>
    <n v="348"/>
    <s v="$40962"/>
    <x v="276"/>
    <x v="0"/>
    <x v="565"/>
    <x v="1"/>
    <x v="565"/>
    <n v="117.70689655172414"/>
    <m/>
  </r>
  <r>
    <x v="2"/>
    <x v="3"/>
    <s v="Cream"/>
    <s v="50 mg"/>
    <s v="50 g"/>
    <n v="317"/>
    <s v="$17536"/>
    <x v="286"/>
    <x v="1"/>
    <x v="566"/>
    <x v="4"/>
    <x v="566"/>
    <n v="55.318611987381701"/>
    <m/>
  </r>
  <r>
    <x v="4"/>
    <x v="1"/>
    <s v="Tablet"/>
    <s v="250 mg"/>
    <s v="100 ml"/>
    <n v="832"/>
    <s v="$14813"/>
    <x v="132"/>
    <x v="4"/>
    <x v="567"/>
    <x v="4"/>
    <x v="567"/>
    <n v="17.80408653846154"/>
    <m/>
  </r>
  <r>
    <x v="0"/>
    <x v="0"/>
    <s v="Injection"/>
    <s v="50 mg"/>
    <s v="50 g"/>
    <n v="1217"/>
    <s v="$44230"/>
    <x v="246"/>
    <x v="2"/>
    <x v="568"/>
    <x v="0"/>
    <x v="568"/>
    <n v="36.343467543138864"/>
    <m/>
  </r>
  <r>
    <x v="0"/>
    <x v="2"/>
    <s v="Tablet"/>
    <s v="10 mg"/>
    <n v="30"/>
    <n v="987"/>
    <s v="$46351"/>
    <x v="83"/>
    <x v="2"/>
    <x v="569"/>
    <x v="2"/>
    <x v="569"/>
    <n v="46.961499493414387"/>
    <m/>
  </r>
  <r>
    <x v="2"/>
    <x v="2"/>
    <s v="Cream"/>
    <s v="100 mg/ml"/>
    <n v="30"/>
    <n v="1544"/>
    <s v="$28088"/>
    <x v="32"/>
    <x v="0"/>
    <x v="570"/>
    <x v="1"/>
    <x v="570"/>
    <n v="18.191709844559586"/>
    <m/>
  </r>
  <r>
    <x v="2"/>
    <x v="3"/>
    <s v="Injection"/>
    <s v="10 mg"/>
    <s v="50 g"/>
    <n v="1500"/>
    <s v="$33627"/>
    <x v="174"/>
    <x v="1"/>
    <x v="571"/>
    <x v="1"/>
    <x v="571"/>
    <n v="22.417999999999999"/>
    <m/>
  </r>
  <r>
    <x v="0"/>
    <x v="2"/>
    <s v="Syrup"/>
    <s v="250 mg"/>
    <s v="100 ml"/>
    <n v="1406"/>
    <s v="$38824"/>
    <x v="287"/>
    <x v="3"/>
    <x v="572"/>
    <x v="2"/>
    <x v="572"/>
    <n v="27.613086770981507"/>
    <m/>
  </r>
  <r>
    <x v="0"/>
    <x v="4"/>
    <s v="Injection"/>
    <s v="500 mg"/>
    <s v="50 g"/>
    <n v="1176"/>
    <s v="$3089"/>
    <x v="264"/>
    <x v="3"/>
    <x v="573"/>
    <x v="0"/>
    <x v="573"/>
    <n v="2.6267006802721089"/>
    <m/>
  </r>
  <r>
    <x v="0"/>
    <x v="0"/>
    <s v="Syrup"/>
    <s v="500 mg"/>
    <s v="10 ml"/>
    <n v="1806"/>
    <s v="$24517"/>
    <x v="188"/>
    <x v="0"/>
    <x v="574"/>
    <x v="3"/>
    <x v="574"/>
    <n v="13.57530454042082"/>
    <m/>
  </r>
  <r>
    <x v="3"/>
    <x v="2"/>
    <s v="Syrup"/>
    <s v="250 mg"/>
    <n v="30"/>
    <n v="1187"/>
    <s v="$25578"/>
    <x v="104"/>
    <x v="4"/>
    <x v="575"/>
    <x v="0"/>
    <x v="575"/>
    <n v="21.54844144903117"/>
    <m/>
  </r>
  <r>
    <x v="3"/>
    <x v="0"/>
    <s v="Cream"/>
    <s v="250 mg"/>
    <s v="10 ml"/>
    <n v="606"/>
    <s v="$19299"/>
    <x v="175"/>
    <x v="4"/>
    <x v="576"/>
    <x v="3"/>
    <x v="576"/>
    <n v="31.846534653465348"/>
    <m/>
  </r>
  <r>
    <x v="4"/>
    <x v="3"/>
    <s v="Injection"/>
    <s v="50 mg"/>
    <n v="30"/>
    <n v="1824"/>
    <s v="$35974"/>
    <x v="218"/>
    <x v="3"/>
    <x v="577"/>
    <x v="1"/>
    <x v="577"/>
    <n v="19.722587719298247"/>
    <m/>
  </r>
  <r>
    <x v="0"/>
    <x v="3"/>
    <s v="Tablet"/>
    <s v="100 mg/ml"/>
    <n v="30"/>
    <n v="1082"/>
    <s v="$1598"/>
    <x v="220"/>
    <x v="4"/>
    <x v="578"/>
    <x v="4"/>
    <x v="578"/>
    <n v="1.4768946395563771"/>
    <m/>
  </r>
  <r>
    <x v="0"/>
    <x v="0"/>
    <s v="Injection"/>
    <s v="500 mg"/>
    <s v="50 g"/>
    <n v="1738"/>
    <s v="$46460"/>
    <x v="288"/>
    <x v="0"/>
    <x v="579"/>
    <x v="3"/>
    <x v="579"/>
    <n v="26.731875719217491"/>
    <m/>
  </r>
  <r>
    <x v="3"/>
    <x v="3"/>
    <s v="Capsule"/>
    <s v="250 mg"/>
    <s v="100 ml"/>
    <n v="566"/>
    <s v="$7773"/>
    <x v="71"/>
    <x v="3"/>
    <x v="580"/>
    <x v="2"/>
    <x v="580"/>
    <n v="13.73321554770318"/>
    <m/>
  </r>
  <r>
    <x v="4"/>
    <x v="3"/>
    <s v="Tablet"/>
    <s v="50 mg"/>
    <s v="100 ml"/>
    <n v="1542"/>
    <s v="$18211"/>
    <x v="289"/>
    <x v="3"/>
    <x v="581"/>
    <x v="2"/>
    <x v="581"/>
    <n v="11.809987029831388"/>
    <m/>
  </r>
  <r>
    <x v="0"/>
    <x v="4"/>
    <s v="Capsule"/>
    <s v="250 mg"/>
    <s v="100 ml"/>
    <n v="1818"/>
    <s v="$24007"/>
    <x v="290"/>
    <x v="2"/>
    <x v="582"/>
    <x v="4"/>
    <x v="582"/>
    <n v="13.205170517051705"/>
    <m/>
  </r>
  <r>
    <x v="2"/>
    <x v="1"/>
    <s v="Cream"/>
    <s v="500 mg"/>
    <s v="10 ml"/>
    <n v="380"/>
    <s v="$19627"/>
    <x v="143"/>
    <x v="1"/>
    <x v="583"/>
    <x v="0"/>
    <x v="583"/>
    <n v="51.65"/>
    <m/>
  </r>
  <r>
    <x v="2"/>
    <x v="3"/>
    <s v="Cream"/>
    <s v="500 mg"/>
    <n v="30"/>
    <n v="1258"/>
    <s v="$32636"/>
    <x v="90"/>
    <x v="0"/>
    <x v="584"/>
    <x v="0"/>
    <x v="584"/>
    <n v="25.942766295707472"/>
    <m/>
  </r>
  <r>
    <x v="0"/>
    <x v="1"/>
    <s v="Injection"/>
    <s v="500 mg"/>
    <s v="10 ml"/>
    <n v="271"/>
    <s v="$42665"/>
    <x v="94"/>
    <x v="3"/>
    <x v="585"/>
    <x v="2"/>
    <x v="585"/>
    <n v="157.43542435424354"/>
    <m/>
  </r>
  <r>
    <x v="2"/>
    <x v="4"/>
    <s v="Cream"/>
    <s v="100 mg/ml"/>
    <n v="60"/>
    <n v="1450"/>
    <s v="$41272"/>
    <x v="291"/>
    <x v="1"/>
    <x v="586"/>
    <x v="3"/>
    <x v="586"/>
    <n v="28.463448275862071"/>
    <m/>
  </r>
  <r>
    <x v="0"/>
    <x v="0"/>
    <s v="Capsule"/>
    <s v="500 mg"/>
    <s v="10 ml"/>
    <n v="880"/>
    <s v="$41888"/>
    <x v="204"/>
    <x v="4"/>
    <x v="587"/>
    <x v="3"/>
    <x v="587"/>
    <n v="47.6"/>
    <m/>
  </r>
  <r>
    <x v="3"/>
    <x v="4"/>
    <s v="Syrup"/>
    <s v="10 mg"/>
    <s v="100 ml"/>
    <n v="946"/>
    <s v="$11455"/>
    <x v="292"/>
    <x v="3"/>
    <x v="588"/>
    <x v="2"/>
    <x v="588"/>
    <n v="12.108879492600423"/>
    <m/>
  </r>
  <r>
    <x v="1"/>
    <x v="0"/>
    <s v="Injection"/>
    <s v="100 mg/ml"/>
    <s v="50 g"/>
    <n v="1435"/>
    <s v="$5947"/>
    <x v="35"/>
    <x v="4"/>
    <x v="589"/>
    <x v="1"/>
    <x v="589"/>
    <n v="4.1442508710801391"/>
    <m/>
  </r>
  <r>
    <x v="2"/>
    <x v="3"/>
    <s v="Capsule"/>
    <s v="100 mg/ml"/>
    <s v="50 g"/>
    <n v="662"/>
    <s v="$42968"/>
    <x v="293"/>
    <x v="2"/>
    <x v="590"/>
    <x v="1"/>
    <x v="590"/>
    <n v="64.90634441087613"/>
    <m/>
  </r>
  <r>
    <x v="3"/>
    <x v="4"/>
    <s v="Syrup"/>
    <s v="10 mg"/>
    <s v="10 ml"/>
    <n v="974"/>
    <s v="$1233"/>
    <x v="294"/>
    <x v="2"/>
    <x v="591"/>
    <x v="3"/>
    <x v="591"/>
    <n v="1.2659137577002053"/>
    <m/>
  </r>
  <r>
    <x v="0"/>
    <x v="3"/>
    <s v="Capsule"/>
    <s v="500 mg"/>
    <s v="100 ml"/>
    <n v="375"/>
    <s v="$48490"/>
    <x v="160"/>
    <x v="2"/>
    <x v="592"/>
    <x v="3"/>
    <x v="592"/>
    <n v="129.30666666666667"/>
    <m/>
  </r>
  <r>
    <x v="4"/>
    <x v="4"/>
    <s v="Cream"/>
    <s v="100 mg/ml"/>
    <n v="60"/>
    <n v="1174"/>
    <s v="$45203"/>
    <x v="111"/>
    <x v="2"/>
    <x v="593"/>
    <x v="1"/>
    <x v="593"/>
    <n v="38.503407155025556"/>
    <m/>
  </r>
  <r>
    <x v="0"/>
    <x v="0"/>
    <s v="Cream"/>
    <s v="100 mg/ml"/>
    <s v="50 g"/>
    <n v="826"/>
    <s v="$38948"/>
    <x v="107"/>
    <x v="2"/>
    <x v="594"/>
    <x v="2"/>
    <x v="594"/>
    <n v="47.152542372881356"/>
    <m/>
  </r>
  <r>
    <x v="4"/>
    <x v="0"/>
    <s v="Cream"/>
    <s v="500 mg"/>
    <s v="100 ml"/>
    <n v="1991"/>
    <s v="$22125"/>
    <x v="287"/>
    <x v="1"/>
    <x v="595"/>
    <x v="2"/>
    <x v="595"/>
    <n v="11.112506278252134"/>
    <m/>
  </r>
  <r>
    <x v="3"/>
    <x v="2"/>
    <s v="Tablet"/>
    <s v="10 mg"/>
    <n v="30"/>
    <n v="1847"/>
    <s v="$3341"/>
    <x v="295"/>
    <x v="3"/>
    <x v="596"/>
    <x v="0"/>
    <x v="596"/>
    <n v="1.8088792636708175"/>
    <m/>
  </r>
  <r>
    <x v="0"/>
    <x v="0"/>
    <s v="Tablet"/>
    <s v="10 mg"/>
    <s v="50 g"/>
    <n v="1902"/>
    <s v="$30721"/>
    <x v="87"/>
    <x v="1"/>
    <x v="597"/>
    <x v="3"/>
    <x v="597"/>
    <n v="16.151945320715036"/>
    <m/>
  </r>
  <r>
    <x v="2"/>
    <x v="2"/>
    <s v="Capsule"/>
    <s v="250 mg"/>
    <n v="30"/>
    <n v="1565"/>
    <s v="$44406"/>
    <x v="252"/>
    <x v="4"/>
    <x v="598"/>
    <x v="2"/>
    <x v="598"/>
    <n v="28.374440894568689"/>
    <m/>
  </r>
  <r>
    <x v="3"/>
    <x v="4"/>
    <s v="Syrup"/>
    <s v="10 mg"/>
    <n v="60"/>
    <n v="202"/>
    <s v="$29359"/>
    <x v="143"/>
    <x v="3"/>
    <x v="599"/>
    <x v="0"/>
    <x v="599"/>
    <n v="145.34158415841586"/>
    <m/>
  </r>
  <r>
    <x v="1"/>
    <x v="0"/>
    <s v="Cream"/>
    <s v="500 mg"/>
    <s v="100 ml"/>
    <n v="1154"/>
    <s v="$43230"/>
    <x v="220"/>
    <x v="2"/>
    <x v="600"/>
    <x v="3"/>
    <x v="600"/>
    <n v="37.461005199306761"/>
    <m/>
  </r>
  <r>
    <x v="3"/>
    <x v="3"/>
    <s v="Syrup"/>
    <s v="100 mg/ml"/>
    <s v="50 g"/>
    <n v="1979"/>
    <s v="$44423"/>
    <x v="0"/>
    <x v="2"/>
    <x v="601"/>
    <x v="4"/>
    <x v="601"/>
    <n v="22.447195553309751"/>
    <m/>
  </r>
  <r>
    <x v="1"/>
    <x v="4"/>
    <s v="Syrup"/>
    <s v="250 mg"/>
    <n v="60"/>
    <n v="1572"/>
    <s v="$45926"/>
    <x v="296"/>
    <x v="1"/>
    <x v="602"/>
    <x v="0"/>
    <x v="602"/>
    <n v="29.215012722646311"/>
    <m/>
  </r>
  <r>
    <x v="4"/>
    <x v="2"/>
    <s v="Injection"/>
    <s v="100 mg/ml"/>
    <n v="60"/>
    <n v="1732"/>
    <s v="$15706"/>
    <x v="286"/>
    <x v="1"/>
    <x v="603"/>
    <x v="4"/>
    <x v="603"/>
    <n v="9.0681293302540418"/>
    <m/>
  </r>
  <r>
    <x v="4"/>
    <x v="1"/>
    <s v="Capsule"/>
    <s v="50 mg"/>
    <s v="100 ml"/>
    <n v="994"/>
    <s v="$28766"/>
    <x v="297"/>
    <x v="1"/>
    <x v="604"/>
    <x v="4"/>
    <x v="604"/>
    <n v="28.939637826961771"/>
    <m/>
  </r>
  <r>
    <x v="1"/>
    <x v="4"/>
    <s v="Tablet"/>
    <s v="250 mg"/>
    <s v="10 ml"/>
    <n v="524"/>
    <s v="$29230"/>
    <x v="275"/>
    <x v="4"/>
    <x v="605"/>
    <x v="4"/>
    <x v="605"/>
    <n v="55.782442748091604"/>
    <m/>
  </r>
  <r>
    <x v="0"/>
    <x v="3"/>
    <s v="Injection"/>
    <s v="50 mg"/>
    <s v="100 ml"/>
    <n v="255"/>
    <s v="$10654"/>
    <x v="298"/>
    <x v="4"/>
    <x v="606"/>
    <x v="0"/>
    <x v="606"/>
    <n v="41.780392156862746"/>
    <m/>
  </r>
  <r>
    <x v="1"/>
    <x v="0"/>
    <s v="Cream"/>
    <s v="250 mg"/>
    <s v="50 g"/>
    <n v="347"/>
    <s v="$13939"/>
    <x v="32"/>
    <x v="4"/>
    <x v="607"/>
    <x v="1"/>
    <x v="607"/>
    <n v="40.170028818443804"/>
    <m/>
  </r>
  <r>
    <x v="1"/>
    <x v="0"/>
    <s v="Injection"/>
    <s v="100 mg/ml"/>
    <s v="10 ml"/>
    <n v="884"/>
    <s v="$29077"/>
    <x v="299"/>
    <x v="4"/>
    <x v="608"/>
    <x v="2"/>
    <x v="608"/>
    <n v="32.892533936651581"/>
    <m/>
  </r>
  <r>
    <x v="0"/>
    <x v="4"/>
    <s v="Capsule"/>
    <s v="50 mg"/>
    <s v="10 ml"/>
    <n v="1415"/>
    <s v="$35744"/>
    <x v="261"/>
    <x v="3"/>
    <x v="609"/>
    <x v="1"/>
    <x v="609"/>
    <n v="25.26077738515901"/>
    <m/>
  </r>
  <r>
    <x v="0"/>
    <x v="1"/>
    <s v="Tablet"/>
    <s v="10 mg"/>
    <s v="100 ml"/>
    <n v="600"/>
    <s v="$22592"/>
    <x v="107"/>
    <x v="4"/>
    <x v="610"/>
    <x v="1"/>
    <x v="610"/>
    <n v="37.653333333333336"/>
    <m/>
  </r>
  <r>
    <x v="1"/>
    <x v="3"/>
    <s v="Tablet"/>
    <s v="500 mg"/>
    <n v="30"/>
    <n v="1568"/>
    <s v="$22730"/>
    <x v="91"/>
    <x v="0"/>
    <x v="611"/>
    <x v="0"/>
    <x v="611"/>
    <n v="14.496173469387756"/>
    <m/>
  </r>
  <r>
    <x v="2"/>
    <x v="1"/>
    <s v="Syrup"/>
    <s v="100 mg/ml"/>
    <n v="30"/>
    <n v="1383"/>
    <s v="$7696"/>
    <x v="31"/>
    <x v="4"/>
    <x v="612"/>
    <x v="1"/>
    <x v="612"/>
    <n v="5.5647143890094002"/>
    <m/>
  </r>
  <r>
    <x v="1"/>
    <x v="1"/>
    <s v="Injection"/>
    <s v="100 mg/ml"/>
    <s v="100 ml"/>
    <n v="1066"/>
    <s v="$30159"/>
    <x v="283"/>
    <x v="3"/>
    <x v="613"/>
    <x v="1"/>
    <x v="613"/>
    <n v="28.291744840525329"/>
    <m/>
  </r>
  <r>
    <x v="3"/>
    <x v="3"/>
    <s v="Syrup"/>
    <s v="250 mg"/>
    <s v="10 ml"/>
    <n v="1759"/>
    <s v="$31641"/>
    <x v="300"/>
    <x v="1"/>
    <x v="614"/>
    <x v="2"/>
    <x v="614"/>
    <n v="17.988061398521886"/>
    <m/>
  </r>
  <r>
    <x v="3"/>
    <x v="2"/>
    <s v="Capsule"/>
    <s v="50 mg"/>
    <n v="30"/>
    <n v="1040"/>
    <s v="$45896"/>
    <x v="273"/>
    <x v="1"/>
    <x v="615"/>
    <x v="3"/>
    <x v="615"/>
    <n v="44.130769230769232"/>
    <m/>
  </r>
  <r>
    <x v="2"/>
    <x v="1"/>
    <s v="Injection"/>
    <s v="500 mg"/>
    <n v="60"/>
    <n v="1796"/>
    <s v="$15290"/>
    <x v="256"/>
    <x v="1"/>
    <x v="616"/>
    <x v="2"/>
    <x v="616"/>
    <n v="8.5133630289532292"/>
    <m/>
  </r>
  <r>
    <x v="4"/>
    <x v="0"/>
    <s v="Syrup"/>
    <s v="250 mg"/>
    <s v="100 ml"/>
    <n v="1545"/>
    <s v="$2653"/>
    <x v="96"/>
    <x v="0"/>
    <x v="617"/>
    <x v="1"/>
    <x v="617"/>
    <n v="1.7171521035598705"/>
    <m/>
  </r>
  <r>
    <x v="3"/>
    <x v="1"/>
    <s v="Tablet"/>
    <s v="50 mg"/>
    <n v="60"/>
    <n v="1615"/>
    <s v="$48316"/>
    <x v="92"/>
    <x v="4"/>
    <x v="618"/>
    <x v="4"/>
    <x v="618"/>
    <n v="29.91702786377709"/>
    <m/>
  </r>
  <r>
    <x v="2"/>
    <x v="2"/>
    <s v="Syrup"/>
    <s v="100 mg/ml"/>
    <s v="100 ml"/>
    <n v="1793"/>
    <s v="$3737"/>
    <x v="70"/>
    <x v="2"/>
    <x v="619"/>
    <x v="1"/>
    <x v="619"/>
    <n v="2.0842163970998326"/>
    <m/>
  </r>
  <r>
    <x v="1"/>
    <x v="2"/>
    <s v="Cream"/>
    <s v="250 mg"/>
    <s v="50 g"/>
    <n v="1283"/>
    <s v="$30409"/>
    <x v="74"/>
    <x v="1"/>
    <x v="620"/>
    <x v="1"/>
    <x v="620"/>
    <n v="23.701480904130943"/>
    <m/>
  </r>
  <r>
    <x v="3"/>
    <x v="3"/>
    <s v="Cream"/>
    <s v="50 mg"/>
    <s v="10 ml"/>
    <n v="635"/>
    <s v="$8357"/>
    <x v="140"/>
    <x v="4"/>
    <x v="621"/>
    <x v="3"/>
    <x v="621"/>
    <n v="13.160629921259842"/>
    <m/>
  </r>
  <r>
    <x v="0"/>
    <x v="0"/>
    <s v="Injection"/>
    <s v="50 mg"/>
    <n v="60"/>
    <n v="1700"/>
    <s v="$25492"/>
    <x v="254"/>
    <x v="3"/>
    <x v="622"/>
    <x v="3"/>
    <x v="622"/>
    <n v="14.99529411764706"/>
    <m/>
  </r>
  <r>
    <x v="0"/>
    <x v="3"/>
    <s v="Capsule"/>
    <s v="50 mg"/>
    <n v="60"/>
    <n v="1428"/>
    <s v="$22964"/>
    <x v="62"/>
    <x v="2"/>
    <x v="623"/>
    <x v="0"/>
    <x v="623"/>
    <n v="16.081232492997199"/>
    <m/>
  </r>
  <r>
    <x v="0"/>
    <x v="4"/>
    <s v="Syrup"/>
    <s v="50 mg"/>
    <n v="60"/>
    <n v="786"/>
    <s v="$11656"/>
    <x v="34"/>
    <x v="1"/>
    <x v="624"/>
    <x v="2"/>
    <x v="624"/>
    <n v="14.829516539440204"/>
    <m/>
  </r>
  <r>
    <x v="3"/>
    <x v="4"/>
    <s v="Syrup"/>
    <s v="500 mg"/>
    <n v="60"/>
    <n v="973"/>
    <s v="$3690"/>
    <x v="252"/>
    <x v="3"/>
    <x v="625"/>
    <x v="2"/>
    <x v="625"/>
    <n v="3.7923946557040082"/>
    <m/>
  </r>
  <r>
    <x v="2"/>
    <x v="3"/>
    <s v="Cream"/>
    <s v="10 mg"/>
    <s v="50 g"/>
    <n v="1841"/>
    <s v="$5308"/>
    <x v="25"/>
    <x v="3"/>
    <x v="626"/>
    <x v="2"/>
    <x v="626"/>
    <n v="2.8832156436719174"/>
    <m/>
  </r>
  <r>
    <x v="4"/>
    <x v="1"/>
    <s v="Injection"/>
    <s v="100 mg/ml"/>
    <s v="100 ml"/>
    <n v="852"/>
    <s v="$21947"/>
    <x v="75"/>
    <x v="0"/>
    <x v="627"/>
    <x v="4"/>
    <x v="627"/>
    <n v="25.759389671361504"/>
    <m/>
  </r>
  <r>
    <x v="4"/>
    <x v="1"/>
    <s v="Capsule"/>
    <s v="10 mg"/>
    <s v="50 g"/>
    <n v="1005"/>
    <s v="$20706"/>
    <x v="138"/>
    <x v="3"/>
    <x v="628"/>
    <x v="0"/>
    <x v="628"/>
    <n v="20.602985074626865"/>
    <m/>
  </r>
  <r>
    <x v="1"/>
    <x v="3"/>
    <s v="Syrup"/>
    <s v="500 mg"/>
    <s v="100 ml"/>
    <n v="1746"/>
    <s v="$9959"/>
    <x v="61"/>
    <x v="3"/>
    <x v="629"/>
    <x v="0"/>
    <x v="629"/>
    <n v="5.7038946162657505"/>
    <m/>
  </r>
  <r>
    <x v="4"/>
    <x v="3"/>
    <s v="Capsule"/>
    <s v="250 mg"/>
    <n v="30"/>
    <n v="1257"/>
    <s v="$23476"/>
    <x v="251"/>
    <x v="2"/>
    <x v="630"/>
    <x v="4"/>
    <x v="630"/>
    <n v="18.676213206046143"/>
    <m/>
  </r>
  <r>
    <x v="3"/>
    <x v="1"/>
    <s v="Tablet"/>
    <s v="10 mg"/>
    <s v="50 g"/>
    <n v="1082"/>
    <s v="$35390"/>
    <x v="301"/>
    <x v="2"/>
    <x v="631"/>
    <x v="2"/>
    <x v="631"/>
    <n v="32.707948243992604"/>
    <m/>
  </r>
  <r>
    <x v="2"/>
    <x v="3"/>
    <s v="Injection"/>
    <s v="10 mg"/>
    <s v="50 g"/>
    <n v="428"/>
    <s v="$3153"/>
    <x v="0"/>
    <x v="0"/>
    <x v="632"/>
    <x v="3"/>
    <x v="632"/>
    <n v="7.3668224299065423"/>
    <m/>
  </r>
  <r>
    <x v="2"/>
    <x v="3"/>
    <s v="Syrup"/>
    <s v="100 mg/ml"/>
    <n v="60"/>
    <n v="793"/>
    <s v="$30051"/>
    <x v="21"/>
    <x v="2"/>
    <x v="633"/>
    <x v="1"/>
    <x v="92"/>
    <n v="37.8953341740227"/>
    <m/>
  </r>
  <r>
    <x v="3"/>
    <x v="2"/>
    <s v="Cream"/>
    <s v="100 mg/ml"/>
    <n v="60"/>
    <n v="140"/>
    <s v="$31617"/>
    <x v="205"/>
    <x v="2"/>
    <x v="634"/>
    <x v="4"/>
    <x v="633"/>
    <n v="225.83571428571429"/>
    <m/>
  </r>
  <r>
    <x v="0"/>
    <x v="3"/>
    <s v="Injection"/>
    <s v="500 mg"/>
    <n v="30"/>
    <n v="862"/>
    <s v="$42692"/>
    <x v="166"/>
    <x v="3"/>
    <x v="635"/>
    <x v="2"/>
    <x v="634"/>
    <n v="49.526682134570763"/>
    <m/>
  </r>
  <r>
    <x v="0"/>
    <x v="2"/>
    <s v="Cream"/>
    <s v="250 mg"/>
    <n v="30"/>
    <n v="1888"/>
    <s v="$35394"/>
    <x v="136"/>
    <x v="3"/>
    <x v="636"/>
    <x v="3"/>
    <x v="635"/>
    <n v="18.746822033898304"/>
    <m/>
  </r>
  <r>
    <x v="1"/>
    <x v="1"/>
    <s v="Cream"/>
    <s v="100 mg/ml"/>
    <s v="50 g"/>
    <n v="1623"/>
    <s v="$26804"/>
    <x v="35"/>
    <x v="1"/>
    <x v="637"/>
    <x v="0"/>
    <x v="636"/>
    <n v="16.515095502156502"/>
    <m/>
  </r>
  <r>
    <x v="4"/>
    <x v="4"/>
    <s v="Cream"/>
    <s v="500 mg"/>
    <n v="60"/>
    <n v="1641"/>
    <s v="$7106"/>
    <x v="127"/>
    <x v="3"/>
    <x v="638"/>
    <x v="1"/>
    <x v="637"/>
    <n v="4.3302864107251677"/>
    <m/>
  </r>
  <r>
    <x v="0"/>
    <x v="0"/>
    <s v="Cream"/>
    <s v="500 mg"/>
    <n v="60"/>
    <n v="622"/>
    <s v="$30194"/>
    <x v="302"/>
    <x v="4"/>
    <x v="639"/>
    <x v="1"/>
    <x v="638"/>
    <n v="48.543408360128616"/>
    <m/>
  </r>
  <r>
    <x v="1"/>
    <x v="2"/>
    <s v="Syrup"/>
    <s v="250 mg"/>
    <s v="50 g"/>
    <n v="1529"/>
    <s v="$22974"/>
    <x v="143"/>
    <x v="0"/>
    <x v="640"/>
    <x v="1"/>
    <x v="639"/>
    <n v="15.025506867233485"/>
    <m/>
  </r>
  <r>
    <x v="0"/>
    <x v="0"/>
    <s v="Tablet"/>
    <s v="10 mg"/>
    <s v="50 g"/>
    <n v="1868"/>
    <s v="$14793"/>
    <x v="303"/>
    <x v="0"/>
    <x v="641"/>
    <x v="1"/>
    <x v="640"/>
    <n v="7.9191648822269807"/>
    <m/>
  </r>
  <r>
    <x v="3"/>
    <x v="1"/>
    <s v="Tablet"/>
    <s v="250 mg"/>
    <n v="30"/>
    <n v="421"/>
    <s v="$11743"/>
    <x v="304"/>
    <x v="2"/>
    <x v="642"/>
    <x v="0"/>
    <x v="641"/>
    <n v="27.893111638954871"/>
    <m/>
  </r>
  <r>
    <x v="0"/>
    <x v="3"/>
    <s v="Injection"/>
    <s v="250 mg"/>
    <s v="50 g"/>
    <n v="1140"/>
    <s v="$11932"/>
    <x v="170"/>
    <x v="1"/>
    <x v="643"/>
    <x v="1"/>
    <x v="642"/>
    <n v="10.466666666666667"/>
    <m/>
  </r>
  <r>
    <x v="0"/>
    <x v="2"/>
    <s v="Syrup"/>
    <s v="10 mg"/>
    <s v="100 ml"/>
    <n v="1689"/>
    <s v="$48095"/>
    <x v="95"/>
    <x v="0"/>
    <x v="644"/>
    <x v="1"/>
    <x v="643"/>
    <n v="28.475429248075784"/>
    <m/>
  </r>
  <r>
    <x v="0"/>
    <x v="4"/>
    <s v="Syrup"/>
    <s v="10 mg"/>
    <n v="30"/>
    <n v="899"/>
    <s v="$30188"/>
    <x v="57"/>
    <x v="4"/>
    <x v="645"/>
    <x v="1"/>
    <x v="644"/>
    <n v="33.579532814238043"/>
    <m/>
  </r>
  <r>
    <x v="0"/>
    <x v="4"/>
    <s v="Cream"/>
    <s v="250 mg"/>
    <s v="10 ml"/>
    <n v="1631"/>
    <s v="$1499"/>
    <x v="261"/>
    <x v="0"/>
    <x v="646"/>
    <x v="2"/>
    <x v="645"/>
    <n v="0.9190680564071122"/>
    <m/>
  </r>
  <r>
    <x v="0"/>
    <x v="4"/>
    <s v="Cream"/>
    <s v="250 mg"/>
    <s v="50 g"/>
    <n v="319"/>
    <s v="$13155"/>
    <x v="107"/>
    <x v="2"/>
    <x v="647"/>
    <x v="3"/>
    <x v="646"/>
    <n v="41.238244514106583"/>
    <m/>
  </r>
  <r>
    <x v="2"/>
    <x v="0"/>
    <s v="Syrup"/>
    <s v="500 mg"/>
    <s v="10 ml"/>
    <n v="152"/>
    <s v="$12327"/>
    <x v="274"/>
    <x v="4"/>
    <x v="648"/>
    <x v="3"/>
    <x v="647"/>
    <n v="81.098684210526315"/>
    <m/>
  </r>
  <r>
    <x v="2"/>
    <x v="0"/>
    <s v="Cream"/>
    <s v="250 mg"/>
    <s v="50 g"/>
    <n v="1283"/>
    <s v="$2668"/>
    <x v="107"/>
    <x v="0"/>
    <x v="649"/>
    <x v="0"/>
    <x v="648"/>
    <n v="2.0795011691348404"/>
    <m/>
  </r>
  <r>
    <x v="3"/>
    <x v="0"/>
    <s v="Injection"/>
    <s v="100 mg/ml"/>
    <s v="100 ml"/>
    <n v="1508"/>
    <s v="$41269"/>
    <x v="169"/>
    <x v="4"/>
    <x v="650"/>
    <x v="1"/>
    <x v="649"/>
    <n v="27.366710875331567"/>
    <m/>
  </r>
  <r>
    <x v="1"/>
    <x v="3"/>
    <s v="Capsule"/>
    <s v="100 mg/ml"/>
    <n v="30"/>
    <n v="774"/>
    <s v="$26648"/>
    <x v="248"/>
    <x v="0"/>
    <x v="651"/>
    <x v="1"/>
    <x v="650"/>
    <n v="34.428940568475454"/>
    <m/>
  </r>
  <r>
    <x v="3"/>
    <x v="4"/>
    <s v="Syrup"/>
    <s v="50 mg"/>
    <n v="30"/>
    <n v="255"/>
    <s v="$47763"/>
    <x v="301"/>
    <x v="1"/>
    <x v="652"/>
    <x v="4"/>
    <x v="651"/>
    <n v="187.30588235294118"/>
    <m/>
  </r>
  <r>
    <x v="4"/>
    <x v="4"/>
    <s v="Tablet"/>
    <s v="10 mg"/>
    <s v="10 ml"/>
    <n v="1460"/>
    <s v="$22865"/>
    <x v="134"/>
    <x v="0"/>
    <x v="653"/>
    <x v="0"/>
    <x v="652"/>
    <n v="15.66095890410959"/>
    <m/>
  </r>
  <r>
    <x v="0"/>
    <x v="0"/>
    <s v="Cream"/>
    <s v="100 mg/ml"/>
    <n v="30"/>
    <n v="879"/>
    <s v="$6810"/>
    <x v="83"/>
    <x v="1"/>
    <x v="654"/>
    <x v="1"/>
    <x v="653"/>
    <n v="7.7474402730375429"/>
    <m/>
  </r>
  <r>
    <x v="0"/>
    <x v="2"/>
    <s v="Injection"/>
    <s v="500 mg"/>
    <s v="50 g"/>
    <n v="634"/>
    <s v="$15232"/>
    <x v="89"/>
    <x v="2"/>
    <x v="655"/>
    <x v="2"/>
    <x v="654"/>
    <n v="24.025236593059937"/>
    <m/>
  </r>
  <r>
    <x v="2"/>
    <x v="1"/>
    <s v="Cream"/>
    <s v="500 mg"/>
    <s v="100 ml"/>
    <n v="1589"/>
    <s v="$28963"/>
    <x v="195"/>
    <x v="1"/>
    <x v="656"/>
    <x v="2"/>
    <x v="655"/>
    <n v="18.227186910006292"/>
    <m/>
  </r>
  <r>
    <x v="3"/>
    <x v="4"/>
    <s v="Syrup"/>
    <s v="100 mg/ml"/>
    <s v="100 ml"/>
    <n v="288"/>
    <s v="$10918"/>
    <x v="239"/>
    <x v="1"/>
    <x v="657"/>
    <x v="0"/>
    <x v="656"/>
    <n v="37.909722222222221"/>
    <m/>
  </r>
  <r>
    <x v="2"/>
    <x v="2"/>
    <s v="Capsule"/>
    <s v="500 mg"/>
    <s v="50 g"/>
    <n v="161"/>
    <s v="$15335"/>
    <x v="3"/>
    <x v="0"/>
    <x v="658"/>
    <x v="3"/>
    <x v="657"/>
    <n v="95.24844720496894"/>
    <m/>
  </r>
  <r>
    <x v="1"/>
    <x v="3"/>
    <s v="Cream"/>
    <s v="500 mg"/>
    <s v="50 g"/>
    <n v="855"/>
    <s v="$29393"/>
    <x v="305"/>
    <x v="0"/>
    <x v="659"/>
    <x v="0"/>
    <x v="658"/>
    <n v="34.37777777777778"/>
    <m/>
  </r>
  <r>
    <x v="1"/>
    <x v="3"/>
    <s v="Syrup"/>
    <s v="10 mg"/>
    <s v="10 ml"/>
    <n v="488"/>
    <s v="$48696"/>
    <x v="138"/>
    <x v="3"/>
    <x v="660"/>
    <x v="0"/>
    <x v="659"/>
    <n v="99.786885245901644"/>
    <m/>
  </r>
  <r>
    <x v="2"/>
    <x v="0"/>
    <s v="Cream"/>
    <s v="50 mg"/>
    <s v="100 ml"/>
    <n v="1119"/>
    <s v="$17664"/>
    <x v="77"/>
    <x v="1"/>
    <x v="661"/>
    <x v="1"/>
    <x v="660"/>
    <n v="15.785522788203753"/>
    <m/>
  </r>
  <r>
    <x v="4"/>
    <x v="2"/>
    <s v="Tablet"/>
    <s v="250 mg"/>
    <n v="30"/>
    <n v="105"/>
    <s v="$10114"/>
    <x v="220"/>
    <x v="2"/>
    <x v="662"/>
    <x v="0"/>
    <x v="661"/>
    <n v="96.32380952380953"/>
    <m/>
  </r>
  <r>
    <x v="4"/>
    <x v="1"/>
    <s v="Injection"/>
    <s v="100 mg/ml"/>
    <s v="100 ml"/>
    <n v="1425"/>
    <s v="$49691"/>
    <x v="164"/>
    <x v="1"/>
    <x v="663"/>
    <x v="2"/>
    <x v="662"/>
    <n v="34.870877192982455"/>
    <m/>
  </r>
  <r>
    <x v="0"/>
    <x v="3"/>
    <s v="Syrup"/>
    <s v="100 mg/ml"/>
    <s v="10 ml"/>
    <n v="908"/>
    <s v="$12202"/>
    <x v="105"/>
    <x v="3"/>
    <x v="664"/>
    <x v="1"/>
    <x v="663"/>
    <n v="13.438325991189428"/>
    <m/>
  </r>
  <r>
    <x v="2"/>
    <x v="3"/>
    <s v="Cream"/>
    <s v="250 mg"/>
    <n v="30"/>
    <n v="1479"/>
    <s v="$39296"/>
    <x v="306"/>
    <x v="1"/>
    <x v="665"/>
    <x v="2"/>
    <x v="664"/>
    <n v="26.569303583502368"/>
    <m/>
  </r>
  <r>
    <x v="4"/>
    <x v="3"/>
    <s v="Injection"/>
    <s v="10 mg"/>
    <n v="30"/>
    <n v="1271"/>
    <s v="$24977"/>
    <x v="82"/>
    <x v="1"/>
    <x v="666"/>
    <x v="0"/>
    <x v="665"/>
    <n v="19.651455546813533"/>
    <m/>
  </r>
  <r>
    <x v="0"/>
    <x v="3"/>
    <s v="Capsule"/>
    <s v="50 mg"/>
    <n v="60"/>
    <n v="255"/>
    <s v="$3422"/>
    <x v="96"/>
    <x v="3"/>
    <x v="667"/>
    <x v="1"/>
    <x v="666"/>
    <n v="13.419607843137255"/>
    <m/>
  </r>
  <r>
    <x v="0"/>
    <x v="4"/>
    <s v="Injection"/>
    <s v="50 mg"/>
    <s v="100 ml"/>
    <n v="1258"/>
    <s v="$40096"/>
    <x v="18"/>
    <x v="4"/>
    <x v="668"/>
    <x v="0"/>
    <x v="667"/>
    <n v="31.872813990461051"/>
    <m/>
  </r>
  <r>
    <x v="0"/>
    <x v="4"/>
    <s v="Capsule"/>
    <s v="500 mg"/>
    <s v="100 ml"/>
    <n v="1633"/>
    <s v="$49748"/>
    <x v="264"/>
    <x v="0"/>
    <x v="669"/>
    <x v="4"/>
    <x v="668"/>
    <n v="30.464176362522963"/>
    <m/>
  </r>
  <r>
    <x v="3"/>
    <x v="4"/>
    <s v="Cream"/>
    <s v="10 mg"/>
    <s v="100 ml"/>
    <n v="115"/>
    <s v="$42746"/>
    <x v="31"/>
    <x v="0"/>
    <x v="670"/>
    <x v="0"/>
    <x v="669"/>
    <n v="371.70434782608697"/>
    <m/>
  </r>
  <r>
    <x v="1"/>
    <x v="4"/>
    <s v="Injection"/>
    <s v="500 mg"/>
    <n v="30"/>
    <n v="1666"/>
    <s v="$31902"/>
    <x v="207"/>
    <x v="0"/>
    <x v="671"/>
    <x v="2"/>
    <x v="670"/>
    <n v="19.148859543817526"/>
    <m/>
  </r>
  <r>
    <x v="1"/>
    <x v="3"/>
    <s v="Injection"/>
    <s v="10 mg"/>
    <s v="100 ml"/>
    <n v="1141"/>
    <s v="$14925"/>
    <x v="307"/>
    <x v="1"/>
    <x v="672"/>
    <x v="1"/>
    <x v="671"/>
    <n v="13.080631025416302"/>
    <m/>
  </r>
  <r>
    <x v="3"/>
    <x v="1"/>
    <s v="Capsule"/>
    <s v="500 mg"/>
    <s v="50 g"/>
    <n v="684"/>
    <s v="$49285"/>
    <x v="308"/>
    <x v="3"/>
    <x v="673"/>
    <x v="3"/>
    <x v="672"/>
    <n v="72.054093567251456"/>
    <m/>
  </r>
  <r>
    <x v="2"/>
    <x v="0"/>
    <s v="Tablet"/>
    <s v="100 mg/ml"/>
    <s v="100 ml"/>
    <n v="125"/>
    <s v="$27122"/>
    <x v="246"/>
    <x v="2"/>
    <x v="674"/>
    <x v="1"/>
    <x v="673"/>
    <n v="216.976"/>
    <m/>
  </r>
  <r>
    <x v="0"/>
    <x v="3"/>
    <s v="Syrup"/>
    <s v="10 mg"/>
    <s v="100 ml"/>
    <n v="1257"/>
    <s v="$9065"/>
    <x v="309"/>
    <x v="0"/>
    <x v="675"/>
    <x v="3"/>
    <x v="674"/>
    <n v="7.211614956245028"/>
    <m/>
  </r>
  <r>
    <x v="3"/>
    <x v="0"/>
    <s v="Syrup"/>
    <s v="250 mg"/>
    <s v="10 ml"/>
    <n v="512"/>
    <s v="$38483"/>
    <x v="70"/>
    <x v="1"/>
    <x v="676"/>
    <x v="1"/>
    <x v="675"/>
    <n v="75.162109375"/>
    <m/>
  </r>
  <r>
    <x v="0"/>
    <x v="4"/>
    <s v="Tablet"/>
    <s v="500 mg"/>
    <n v="60"/>
    <n v="1978"/>
    <s v="$35271"/>
    <x v="169"/>
    <x v="4"/>
    <x v="677"/>
    <x v="4"/>
    <x v="676"/>
    <n v="17.831648129423659"/>
    <m/>
  </r>
  <r>
    <x v="0"/>
    <x v="4"/>
    <s v="Syrup"/>
    <s v="50 mg"/>
    <s v="10 ml"/>
    <n v="452"/>
    <s v="$27833"/>
    <x v="132"/>
    <x v="3"/>
    <x v="678"/>
    <x v="2"/>
    <x v="677"/>
    <n v="61.577433628318587"/>
    <m/>
  </r>
  <r>
    <x v="2"/>
    <x v="3"/>
    <s v="Cream"/>
    <s v="50 mg"/>
    <s v="100 ml"/>
    <n v="1464"/>
    <s v="$13450"/>
    <x v="212"/>
    <x v="4"/>
    <x v="679"/>
    <x v="1"/>
    <x v="678"/>
    <n v="9.1871584699453557"/>
    <m/>
  </r>
  <r>
    <x v="1"/>
    <x v="2"/>
    <s v="Cream"/>
    <s v="100 mg/ml"/>
    <n v="60"/>
    <n v="1259"/>
    <s v="$34258"/>
    <x v="104"/>
    <x v="4"/>
    <x v="680"/>
    <x v="3"/>
    <x v="679"/>
    <n v="27.210484511517077"/>
    <m/>
  </r>
  <r>
    <x v="0"/>
    <x v="4"/>
    <s v="Injection"/>
    <s v="50 mg"/>
    <s v="10 ml"/>
    <n v="997"/>
    <s v="$6288"/>
    <x v="52"/>
    <x v="4"/>
    <x v="681"/>
    <x v="4"/>
    <x v="680"/>
    <n v="6.3069207622868602"/>
    <m/>
  </r>
  <r>
    <x v="3"/>
    <x v="2"/>
    <s v="Cream"/>
    <s v="50 mg"/>
    <n v="60"/>
    <n v="324"/>
    <s v="$16995"/>
    <x v="285"/>
    <x v="3"/>
    <x v="682"/>
    <x v="2"/>
    <x v="681"/>
    <n v="52.453703703703702"/>
    <m/>
  </r>
  <r>
    <x v="3"/>
    <x v="1"/>
    <s v="Syrup"/>
    <s v="10 mg"/>
    <s v="100 ml"/>
    <n v="153"/>
    <s v="$48959"/>
    <x v="310"/>
    <x v="3"/>
    <x v="683"/>
    <x v="0"/>
    <x v="682"/>
    <n v="319.99346405228761"/>
    <m/>
  </r>
  <r>
    <x v="1"/>
    <x v="3"/>
    <s v="Cream"/>
    <s v="10 mg"/>
    <s v="50 g"/>
    <n v="1927"/>
    <s v="$36009"/>
    <x v="170"/>
    <x v="1"/>
    <x v="684"/>
    <x v="1"/>
    <x v="683"/>
    <n v="18.686559418785677"/>
    <m/>
  </r>
  <r>
    <x v="0"/>
    <x v="1"/>
    <s v="Cream"/>
    <s v="100 mg/ml"/>
    <n v="60"/>
    <n v="463"/>
    <s v="$7692"/>
    <x v="171"/>
    <x v="1"/>
    <x v="685"/>
    <x v="0"/>
    <x v="684"/>
    <n v="16.613390928725703"/>
    <m/>
  </r>
  <r>
    <x v="0"/>
    <x v="2"/>
    <s v="Capsule"/>
    <s v="10 mg"/>
    <n v="30"/>
    <n v="1767"/>
    <s v="$37875"/>
    <x v="295"/>
    <x v="3"/>
    <x v="686"/>
    <x v="0"/>
    <x v="685"/>
    <n v="21.434634974533108"/>
    <m/>
  </r>
  <r>
    <x v="4"/>
    <x v="0"/>
    <s v="Injection"/>
    <s v="250 mg"/>
    <s v="100 ml"/>
    <n v="1906"/>
    <s v="$37464"/>
    <x v="137"/>
    <x v="2"/>
    <x v="687"/>
    <x v="2"/>
    <x v="686"/>
    <n v="19.655823714585519"/>
    <m/>
  </r>
  <r>
    <x v="2"/>
    <x v="1"/>
    <s v="Tablet"/>
    <s v="100 mg/ml"/>
    <n v="30"/>
    <n v="1155"/>
    <s v="$27188"/>
    <x v="280"/>
    <x v="1"/>
    <x v="688"/>
    <x v="3"/>
    <x v="687"/>
    <n v="23.539393939393939"/>
    <m/>
  </r>
  <r>
    <x v="0"/>
    <x v="1"/>
    <s v="Capsule"/>
    <s v="50 mg"/>
    <s v="100 ml"/>
    <n v="752"/>
    <s v="$2969"/>
    <x v="252"/>
    <x v="4"/>
    <x v="689"/>
    <x v="3"/>
    <x v="688"/>
    <n v="3.9481382978723403"/>
    <m/>
  </r>
  <r>
    <x v="3"/>
    <x v="0"/>
    <s v="Injection"/>
    <s v="10 mg"/>
    <n v="30"/>
    <n v="1723"/>
    <s v="$43091"/>
    <x v="311"/>
    <x v="1"/>
    <x v="690"/>
    <x v="1"/>
    <x v="689"/>
    <n v="25.009286128845037"/>
    <m/>
  </r>
  <r>
    <x v="2"/>
    <x v="4"/>
    <s v="Capsule"/>
    <s v="100 mg/ml"/>
    <n v="60"/>
    <n v="1337"/>
    <s v="$22675"/>
    <x v="118"/>
    <x v="1"/>
    <x v="691"/>
    <x v="0"/>
    <x v="690"/>
    <n v="16.959611069558715"/>
    <m/>
  </r>
  <r>
    <x v="4"/>
    <x v="3"/>
    <s v="Capsule"/>
    <s v="50 mg"/>
    <n v="60"/>
    <n v="1430"/>
    <s v="$41328"/>
    <x v="257"/>
    <x v="0"/>
    <x v="692"/>
    <x v="4"/>
    <x v="691"/>
    <n v="28.900699300699301"/>
    <m/>
  </r>
  <r>
    <x v="3"/>
    <x v="3"/>
    <s v="Capsule"/>
    <s v="50 mg"/>
    <s v="100 ml"/>
    <n v="1184"/>
    <s v="$27895"/>
    <x v="135"/>
    <x v="0"/>
    <x v="693"/>
    <x v="0"/>
    <x v="692"/>
    <n v="23.559966216216218"/>
    <m/>
  </r>
  <r>
    <x v="1"/>
    <x v="3"/>
    <s v="Syrup"/>
    <s v="10 mg"/>
    <n v="30"/>
    <n v="506"/>
    <s v="$17762"/>
    <x v="243"/>
    <x v="2"/>
    <x v="694"/>
    <x v="2"/>
    <x v="693"/>
    <n v="35.102766798418969"/>
    <m/>
  </r>
  <r>
    <x v="4"/>
    <x v="4"/>
    <s v="Capsule"/>
    <s v="500 mg"/>
    <s v="10 ml"/>
    <n v="1085"/>
    <s v="$1367"/>
    <x v="103"/>
    <x v="1"/>
    <x v="695"/>
    <x v="2"/>
    <x v="694"/>
    <n v="1.2599078341013825"/>
    <m/>
  </r>
  <r>
    <x v="2"/>
    <x v="2"/>
    <s v="Injection"/>
    <s v="50 mg"/>
    <s v="10 ml"/>
    <n v="1151"/>
    <s v="$23237"/>
    <x v="56"/>
    <x v="3"/>
    <x v="696"/>
    <x v="1"/>
    <x v="695"/>
    <n v="20.188531711555168"/>
    <m/>
  </r>
  <r>
    <x v="2"/>
    <x v="4"/>
    <s v="Capsule"/>
    <s v="250 mg"/>
    <s v="100 ml"/>
    <n v="157"/>
    <s v="$17373"/>
    <x v="126"/>
    <x v="4"/>
    <x v="697"/>
    <x v="0"/>
    <x v="696"/>
    <n v="110.65605095541402"/>
    <m/>
  </r>
  <r>
    <x v="4"/>
    <x v="0"/>
    <s v="Injection"/>
    <s v="500 mg"/>
    <s v="10 ml"/>
    <n v="1665"/>
    <s v="$49986"/>
    <x v="245"/>
    <x v="4"/>
    <x v="698"/>
    <x v="3"/>
    <x v="697"/>
    <n v="30.021621621621623"/>
    <m/>
  </r>
  <r>
    <x v="4"/>
    <x v="3"/>
    <s v="Cream"/>
    <s v="50 mg"/>
    <n v="30"/>
    <n v="206"/>
    <s v="$35133"/>
    <x v="20"/>
    <x v="1"/>
    <x v="699"/>
    <x v="1"/>
    <x v="698"/>
    <n v="170.54854368932038"/>
    <m/>
  </r>
  <r>
    <x v="2"/>
    <x v="2"/>
    <s v="Tablet"/>
    <s v="100 mg/ml"/>
    <n v="30"/>
    <n v="1348"/>
    <s v="$37823"/>
    <x v="151"/>
    <x v="1"/>
    <x v="700"/>
    <x v="4"/>
    <x v="699"/>
    <n v="28.058605341246292"/>
    <m/>
  </r>
  <r>
    <x v="4"/>
    <x v="2"/>
    <s v="Tablet"/>
    <s v="500 mg"/>
    <n v="60"/>
    <n v="1397"/>
    <s v="$45903"/>
    <x v="285"/>
    <x v="2"/>
    <x v="701"/>
    <x v="0"/>
    <x v="700"/>
    <n v="32.85826771653543"/>
    <m/>
  </r>
  <r>
    <x v="0"/>
    <x v="2"/>
    <s v="Tablet"/>
    <s v="50 mg"/>
    <s v="100 ml"/>
    <n v="1514"/>
    <s v="$24056"/>
    <x v="188"/>
    <x v="3"/>
    <x v="702"/>
    <x v="0"/>
    <x v="701"/>
    <n v="15.889035667107001"/>
    <m/>
  </r>
  <r>
    <x v="0"/>
    <x v="2"/>
    <s v="Tablet"/>
    <s v="50 mg"/>
    <n v="30"/>
    <n v="160"/>
    <s v="$14104"/>
    <x v="40"/>
    <x v="4"/>
    <x v="703"/>
    <x v="0"/>
    <x v="702"/>
    <n v="88.15"/>
    <m/>
  </r>
  <r>
    <x v="2"/>
    <x v="2"/>
    <s v="Injection"/>
    <s v="500 mg"/>
    <n v="60"/>
    <n v="1386"/>
    <s v="$21572"/>
    <x v="45"/>
    <x v="2"/>
    <x v="704"/>
    <x v="1"/>
    <x v="703"/>
    <n v="15.564213564213564"/>
    <m/>
  </r>
  <r>
    <x v="2"/>
    <x v="3"/>
    <s v="Cream"/>
    <s v="500 mg"/>
    <n v="60"/>
    <n v="348"/>
    <s v="$3487"/>
    <x v="103"/>
    <x v="1"/>
    <x v="705"/>
    <x v="2"/>
    <x v="704"/>
    <n v="10.020114942528735"/>
    <m/>
  </r>
  <r>
    <x v="4"/>
    <x v="0"/>
    <s v="Capsule"/>
    <s v="10 mg"/>
    <s v="50 g"/>
    <n v="1100"/>
    <s v="$3858"/>
    <x v="242"/>
    <x v="2"/>
    <x v="706"/>
    <x v="1"/>
    <x v="705"/>
    <n v="3.5072727272727273"/>
    <m/>
  </r>
  <r>
    <x v="2"/>
    <x v="3"/>
    <s v="Capsule"/>
    <s v="100 mg/ml"/>
    <n v="60"/>
    <n v="514"/>
    <s v="$39240"/>
    <x v="184"/>
    <x v="1"/>
    <x v="707"/>
    <x v="4"/>
    <x v="706"/>
    <n v="76.342412451361866"/>
    <m/>
  </r>
  <r>
    <x v="0"/>
    <x v="0"/>
    <s v="Syrup"/>
    <s v="100 mg/ml"/>
    <s v="100 ml"/>
    <n v="1752"/>
    <s v="$38068"/>
    <x v="287"/>
    <x v="4"/>
    <x v="708"/>
    <x v="3"/>
    <x v="707"/>
    <n v="21.728310502283104"/>
    <m/>
  </r>
  <r>
    <x v="3"/>
    <x v="0"/>
    <s v="Cream"/>
    <s v="100 mg/ml"/>
    <s v="10 ml"/>
    <n v="358"/>
    <s v="$13438"/>
    <x v="192"/>
    <x v="3"/>
    <x v="709"/>
    <x v="4"/>
    <x v="708"/>
    <n v="37.536312849162009"/>
    <m/>
  </r>
  <r>
    <x v="3"/>
    <x v="3"/>
    <s v="Capsule"/>
    <s v="500 mg"/>
    <s v="10 ml"/>
    <n v="506"/>
    <s v="$28350"/>
    <x v="210"/>
    <x v="2"/>
    <x v="710"/>
    <x v="4"/>
    <x v="709"/>
    <n v="56.027667984189726"/>
    <m/>
  </r>
  <r>
    <x v="1"/>
    <x v="3"/>
    <s v="Tablet"/>
    <s v="100 mg/ml"/>
    <s v="100 ml"/>
    <n v="1938"/>
    <s v="$28072"/>
    <x v="129"/>
    <x v="2"/>
    <x v="711"/>
    <x v="3"/>
    <x v="710"/>
    <n v="14.485036119711042"/>
    <m/>
  </r>
  <r>
    <x v="0"/>
    <x v="2"/>
    <s v="Capsule"/>
    <s v="500 mg"/>
    <s v="10 ml"/>
    <n v="794"/>
    <s v="$29529"/>
    <x v="76"/>
    <x v="4"/>
    <x v="712"/>
    <x v="0"/>
    <x v="711"/>
    <n v="37.190176322418139"/>
    <m/>
  </r>
  <r>
    <x v="3"/>
    <x v="1"/>
    <s v="Injection"/>
    <s v="500 mg"/>
    <s v="10 ml"/>
    <n v="483"/>
    <s v="$26712"/>
    <x v="211"/>
    <x v="4"/>
    <x v="713"/>
    <x v="2"/>
    <x v="712"/>
    <n v="55.304347826086953"/>
    <m/>
  </r>
  <r>
    <x v="4"/>
    <x v="2"/>
    <s v="Cream"/>
    <s v="100 mg/ml"/>
    <s v="50 g"/>
    <n v="1884"/>
    <s v="$23635"/>
    <x v="193"/>
    <x v="2"/>
    <x v="714"/>
    <x v="4"/>
    <x v="713"/>
    <n v="12.545116772823778"/>
    <m/>
  </r>
  <r>
    <x v="4"/>
    <x v="3"/>
    <s v="Cream"/>
    <s v="50 mg"/>
    <s v="10 ml"/>
    <n v="735"/>
    <s v="$40658"/>
    <x v="29"/>
    <x v="1"/>
    <x v="715"/>
    <x v="3"/>
    <x v="714"/>
    <n v="55.317006802721089"/>
    <m/>
  </r>
  <r>
    <x v="0"/>
    <x v="2"/>
    <s v="Syrup"/>
    <s v="100 mg/ml"/>
    <s v="50 g"/>
    <n v="274"/>
    <s v="$30681"/>
    <x v="92"/>
    <x v="2"/>
    <x v="716"/>
    <x v="4"/>
    <x v="715"/>
    <n v="111.97445255474453"/>
    <m/>
  </r>
  <r>
    <x v="2"/>
    <x v="2"/>
    <s v="Tablet"/>
    <s v="500 mg"/>
    <s v="50 g"/>
    <n v="1805"/>
    <s v="$40381"/>
    <x v="210"/>
    <x v="4"/>
    <x v="717"/>
    <x v="1"/>
    <x v="716"/>
    <n v="22.371745152354571"/>
    <m/>
  </r>
  <r>
    <x v="0"/>
    <x v="3"/>
    <s v="Capsule"/>
    <s v="10 mg"/>
    <s v="50 g"/>
    <n v="873"/>
    <s v="$28594"/>
    <x v="66"/>
    <x v="3"/>
    <x v="718"/>
    <x v="0"/>
    <x v="717"/>
    <n v="32.753722794959906"/>
    <m/>
  </r>
  <r>
    <x v="3"/>
    <x v="0"/>
    <s v="Syrup"/>
    <s v="500 mg"/>
    <s v="100 ml"/>
    <n v="132"/>
    <s v="$44778"/>
    <x v="128"/>
    <x v="2"/>
    <x v="719"/>
    <x v="1"/>
    <x v="718"/>
    <n v="339.22727272727275"/>
    <m/>
  </r>
  <r>
    <x v="3"/>
    <x v="0"/>
    <s v="Tablet"/>
    <s v="250 mg"/>
    <s v="50 g"/>
    <n v="1420"/>
    <s v="$14853"/>
    <x v="298"/>
    <x v="3"/>
    <x v="720"/>
    <x v="4"/>
    <x v="719"/>
    <n v="10.459859154929578"/>
    <m/>
  </r>
  <r>
    <x v="3"/>
    <x v="0"/>
    <s v="Injection"/>
    <s v="100 mg/ml"/>
    <s v="50 g"/>
    <n v="1683"/>
    <s v="$29645"/>
    <x v="224"/>
    <x v="3"/>
    <x v="721"/>
    <x v="3"/>
    <x v="720"/>
    <n v="17.614379084967322"/>
    <m/>
  </r>
  <r>
    <x v="1"/>
    <x v="3"/>
    <s v="Injection"/>
    <s v="250 mg"/>
    <n v="60"/>
    <n v="1143"/>
    <s v="$43589"/>
    <x v="312"/>
    <x v="2"/>
    <x v="722"/>
    <x v="4"/>
    <x v="721"/>
    <n v="38.135608048993873"/>
    <m/>
  </r>
  <r>
    <x v="0"/>
    <x v="4"/>
    <s v="Cream"/>
    <s v="500 mg"/>
    <n v="30"/>
    <n v="223"/>
    <s v="$2979"/>
    <x v="293"/>
    <x v="3"/>
    <x v="723"/>
    <x v="0"/>
    <x v="722"/>
    <n v="13.358744394618833"/>
    <m/>
  </r>
  <r>
    <x v="2"/>
    <x v="1"/>
    <s v="Syrup"/>
    <s v="10 mg"/>
    <n v="60"/>
    <n v="1324"/>
    <s v="$4688"/>
    <x v="90"/>
    <x v="2"/>
    <x v="724"/>
    <x v="0"/>
    <x v="723"/>
    <n v="3.5407854984894258"/>
    <m/>
  </r>
  <r>
    <x v="1"/>
    <x v="2"/>
    <s v="Injection"/>
    <s v="250 mg"/>
    <s v="100 ml"/>
    <n v="194"/>
    <s v="$24534"/>
    <x v="278"/>
    <x v="3"/>
    <x v="725"/>
    <x v="3"/>
    <x v="724"/>
    <n v="126.4639175257732"/>
    <m/>
  </r>
  <r>
    <x v="2"/>
    <x v="3"/>
    <s v="Tablet"/>
    <s v="10 mg"/>
    <n v="60"/>
    <n v="661"/>
    <s v="$23684"/>
    <x v="179"/>
    <x v="1"/>
    <x v="726"/>
    <x v="3"/>
    <x v="725"/>
    <n v="35.83055975794251"/>
    <m/>
  </r>
  <r>
    <x v="0"/>
    <x v="3"/>
    <s v="Tablet"/>
    <s v="10 mg"/>
    <s v="50 g"/>
    <n v="751"/>
    <s v="$19968"/>
    <x v="88"/>
    <x v="0"/>
    <x v="727"/>
    <x v="2"/>
    <x v="726"/>
    <n v="26.588548601864183"/>
    <m/>
  </r>
  <r>
    <x v="0"/>
    <x v="2"/>
    <s v="Cream"/>
    <s v="250 mg"/>
    <s v="100 ml"/>
    <n v="1257"/>
    <s v="$23292"/>
    <x v="96"/>
    <x v="4"/>
    <x v="728"/>
    <x v="2"/>
    <x v="727"/>
    <n v="18.529832935560858"/>
    <m/>
  </r>
  <r>
    <x v="4"/>
    <x v="2"/>
    <s v="Injection"/>
    <s v="500 mg"/>
    <n v="60"/>
    <n v="302"/>
    <s v="$13102"/>
    <x v="139"/>
    <x v="1"/>
    <x v="729"/>
    <x v="3"/>
    <x v="728"/>
    <n v="43.384105960264904"/>
    <m/>
  </r>
  <r>
    <x v="4"/>
    <x v="3"/>
    <s v="Capsule"/>
    <s v="500 mg"/>
    <s v="100 ml"/>
    <n v="952"/>
    <s v="$24617"/>
    <x v="297"/>
    <x v="4"/>
    <x v="730"/>
    <x v="2"/>
    <x v="729"/>
    <n v="25.858193277310924"/>
    <m/>
  </r>
  <r>
    <x v="3"/>
    <x v="1"/>
    <s v="Capsule"/>
    <s v="10 mg"/>
    <s v="100 ml"/>
    <n v="507"/>
    <s v="$10837"/>
    <x v="217"/>
    <x v="2"/>
    <x v="731"/>
    <x v="3"/>
    <x v="730"/>
    <n v="21.374753451676529"/>
    <m/>
  </r>
  <r>
    <x v="0"/>
    <x v="2"/>
    <s v="Cream"/>
    <s v="10 mg"/>
    <s v="50 g"/>
    <n v="1325"/>
    <s v="$29008"/>
    <x v="268"/>
    <x v="0"/>
    <x v="732"/>
    <x v="0"/>
    <x v="731"/>
    <n v="21.892830188679245"/>
    <m/>
  </r>
  <r>
    <x v="0"/>
    <x v="2"/>
    <s v="Tablet"/>
    <s v="10 mg"/>
    <s v="50 g"/>
    <n v="970"/>
    <s v="$30738"/>
    <x v="180"/>
    <x v="1"/>
    <x v="733"/>
    <x v="2"/>
    <x v="411"/>
    <n v="31.688659793814434"/>
    <m/>
  </r>
  <r>
    <x v="1"/>
    <x v="0"/>
    <s v="Capsule"/>
    <s v="500 mg"/>
    <s v="50 g"/>
    <n v="1034"/>
    <s v="$9255"/>
    <x v="75"/>
    <x v="2"/>
    <x v="734"/>
    <x v="4"/>
    <x v="732"/>
    <n v="8.9506769825918759"/>
    <m/>
  </r>
  <r>
    <x v="1"/>
    <x v="4"/>
    <s v="Capsule"/>
    <s v="100 mg/ml"/>
    <s v="100 ml"/>
    <n v="1127"/>
    <s v="$3828"/>
    <x v="151"/>
    <x v="0"/>
    <x v="735"/>
    <x v="1"/>
    <x v="733"/>
    <n v="3.3966282165039927"/>
    <m/>
  </r>
  <r>
    <x v="1"/>
    <x v="4"/>
    <s v="Syrup"/>
    <s v="250 mg"/>
    <n v="30"/>
    <n v="347"/>
    <s v="$46219"/>
    <x v="72"/>
    <x v="1"/>
    <x v="736"/>
    <x v="2"/>
    <x v="734"/>
    <n v="133.19596541786743"/>
    <m/>
  </r>
  <r>
    <x v="2"/>
    <x v="3"/>
    <s v="Syrup"/>
    <s v="10 mg"/>
    <s v="50 g"/>
    <n v="1032"/>
    <s v="$37678"/>
    <x v="179"/>
    <x v="4"/>
    <x v="737"/>
    <x v="0"/>
    <x v="735"/>
    <n v="36.509689922480618"/>
    <m/>
  </r>
  <r>
    <x v="0"/>
    <x v="4"/>
    <s v="Tablet"/>
    <s v="50 mg"/>
    <n v="30"/>
    <n v="1105"/>
    <s v="$35389"/>
    <x v="142"/>
    <x v="2"/>
    <x v="738"/>
    <x v="2"/>
    <x v="736"/>
    <n v="32.026244343891406"/>
    <m/>
  </r>
  <r>
    <x v="0"/>
    <x v="2"/>
    <s v="Syrup"/>
    <s v="250 mg"/>
    <s v="100 ml"/>
    <n v="107"/>
    <s v="$11533"/>
    <x v="189"/>
    <x v="0"/>
    <x v="739"/>
    <x v="3"/>
    <x v="737"/>
    <n v="107.78504672897196"/>
    <m/>
  </r>
  <r>
    <x v="1"/>
    <x v="4"/>
    <s v="Cream"/>
    <s v="100 mg/ml"/>
    <n v="60"/>
    <n v="585"/>
    <s v="$37206"/>
    <x v="146"/>
    <x v="4"/>
    <x v="740"/>
    <x v="3"/>
    <x v="738"/>
    <n v="63.6"/>
    <m/>
  </r>
  <r>
    <x v="1"/>
    <x v="1"/>
    <s v="Tablet"/>
    <s v="500 mg"/>
    <n v="30"/>
    <n v="1915"/>
    <s v="$6442"/>
    <x v="313"/>
    <x v="0"/>
    <x v="741"/>
    <x v="3"/>
    <x v="739"/>
    <n v="3.3639686684073107"/>
    <m/>
  </r>
  <r>
    <x v="0"/>
    <x v="0"/>
    <s v="Cream"/>
    <s v="250 mg"/>
    <s v="100 ml"/>
    <n v="1228"/>
    <s v="$47317"/>
    <x v="158"/>
    <x v="3"/>
    <x v="742"/>
    <x v="2"/>
    <x v="740"/>
    <n v="38.531758957654723"/>
    <m/>
  </r>
  <r>
    <x v="4"/>
    <x v="1"/>
    <s v="Injection"/>
    <s v="10 mg"/>
    <n v="60"/>
    <n v="728"/>
    <s v="$17927"/>
    <x v="12"/>
    <x v="4"/>
    <x v="743"/>
    <x v="3"/>
    <x v="741"/>
    <n v="24.625"/>
    <m/>
  </r>
  <r>
    <x v="2"/>
    <x v="1"/>
    <s v="Injection"/>
    <s v="50 mg"/>
    <s v="100 ml"/>
    <n v="938"/>
    <s v="$49452"/>
    <x v="275"/>
    <x v="3"/>
    <x v="744"/>
    <x v="1"/>
    <x v="742"/>
    <n v="52.720682302771856"/>
    <m/>
  </r>
  <r>
    <x v="0"/>
    <x v="0"/>
    <s v="Injection"/>
    <s v="100 mg/ml"/>
    <s v="50 g"/>
    <n v="1140"/>
    <s v="$37493"/>
    <x v="314"/>
    <x v="4"/>
    <x v="745"/>
    <x v="1"/>
    <x v="743"/>
    <n v="32.888596491228071"/>
    <m/>
  </r>
  <r>
    <x v="4"/>
    <x v="2"/>
    <s v="Cream"/>
    <s v="250 mg"/>
    <s v="10 ml"/>
    <n v="493"/>
    <s v="$37610"/>
    <x v="41"/>
    <x v="3"/>
    <x v="746"/>
    <x v="1"/>
    <x v="744"/>
    <n v="76.288032454361058"/>
    <m/>
  </r>
  <r>
    <x v="4"/>
    <x v="3"/>
    <s v="Syrup"/>
    <s v="250 mg"/>
    <s v="10 ml"/>
    <n v="1358"/>
    <s v="$3735"/>
    <x v="64"/>
    <x v="3"/>
    <x v="747"/>
    <x v="0"/>
    <x v="745"/>
    <n v="2.7503681885125184"/>
    <m/>
  </r>
  <r>
    <x v="3"/>
    <x v="4"/>
    <s v="Cream"/>
    <s v="500 mg"/>
    <s v="50 g"/>
    <n v="269"/>
    <s v="$43198"/>
    <x v="134"/>
    <x v="2"/>
    <x v="748"/>
    <x v="2"/>
    <x v="746"/>
    <n v="160.58736059479554"/>
    <m/>
  </r>
  <r>
    <x v="0"/>
    <x v="1"/>
    <s v="Cream"/>
    <s v="250 mg"/>
    <n v="30"/>
    <n v="201"/>
    <s v="$24265"/>
    <x v="199"/>
    <x v="2"/>
    <x v="749"/>
    <x v="3"/>
    <x v="747"/>
    <n v="120.72139303482587"/>
    <m/>
  </r>
  <r>
    <x v="1"/>
    <x v="3"/>
    <s v="Cream"/>
    <s v="50 mg"/>
    <n v="30"/>
    <n v="1918"/>
    <s v="$16223"/>
    <x v="182"/>
    <x v="2"/>
    <x v="750"/>
    <x v="1"/>
    <x v="429"/>
    <n v="8.4582898852971837"/>
    <m/>
  </r>
  <r>
    <x v="4"/>
    <x v="0"/>
    <s v="Injection"/>
    <s v="100 mg/ml"/>
    <n v="60"/>
    <n v="1337"/>
    <s v="$12997"/>
    <x v="213"/>
    <x v="3"/>
    <x v="751"/>
    <x v="4"/>
    <x v="748"/>
    <n v="9.7210172026925949"/>
    <m/>
  </r>
  <r>
    <x v="4"/>
    <x v="1"/>
    <s v="Syrup"/>
    <s v="100 mg/ml"/>
    <s v="100 ml"/>
    <n v="483"/>
    <s v="$25162"/>
    <x v="315"/>
    <x v="1"/>
    <x v="752"/>
    <x v="4"/>
    <x v="749"/>
    <n v="52.095238095238095"/>
    <m/>
  </r>
  <r>
    <x v="3"/>
    <x v="3"/>
    <s v="Injection"/>
    <s v="500 mg"/>
    <s v="50 g"/>
    <n v="105"/>
    <s v="$31985"/>
    <x v="52"/>
    <x v="0"/>
    <x v="753"/>
    <x v="4"/>
    <x v="750"/>
    <n v="304.61904761904759"/>
    <m/>
  </r>
  <r>
    <x v="1"/>
    <x v="2"/>
    <s v="Cream"/>
    <s v="50 mg"/>
    <n v="60"/>
    <n v="1760"/>
    <s v="$24924"/>
    <x v="202"/>
    <x v="3"/>
    <x v="754"/>
    <x v="3"/>
    <x v="751"/>
    <n v="14.161363636363637"/>
    <m/>
  </r>
  <r>
    <x v="3"/>
    <x v="1"/>
    <s v="Cream"/>
    <s v="10 mg"/>
    <n v="60"/>
    <n v="835"/>
    <s v="$35184"/>
    <x v="263"/>
    <x v="4"/>
    <x v="755"/>
    <x v="4"/>
    <x v="752"/>
    <n v="42.136526946107786"/>
    <m/>
  </r>
  <r>
    <x v="0"/>
    <x v="3"/>
    <s v="Injection"/>
    <s v="50 mg"/>
    <s v="10 ml"/>
    <n v="122"/>
    <s v="$7349"/>
    <x v="185"/>
    <x v="3"/>
    <x v="756"/>
    <x v="2"/>
    <x v="753"/>
    <n v="60.23770491803279"/>
    <m/>
  </r>
  <r>
    <x v="2"/>
    <x v="3"/>
    <s v="Syrup"/>
    <s v="250 mg"/>
    <n v="30"/>
    <n v="1415"/>
    <s v="$41330"/>
    <x v="28"/>
    <x v="3"/>
    <x v="757"/>
    <x v="2"/>
    <x v="754"/>
    <n v="29.208480565371026"/>
    <m/>
  </r>
  <r>
    <x v="1"/>
    <x v="0"/>
    <s v="Tablet"/>
    <s v="100 mg/ml"/>
    <s v="50 g"/>
    <n v="1993"/>
    <s v="$5212"/>
    <x v="316"/>
    <x v="1"/>
    <x v="758"/>
    <x v="0"/>
    <x v="755"/>
    <n v="2.6151530356246866"/>
    <m/>
  </r>
  <r>
    <x v="1"/>
    <x v="1"/>
    <s v="Tablet"/>
    <s v="500 mg"/>
    <s v="50 g"/>
    <n v="958"/>
    <s v="$15537"/>
    <x v="254"/>
    <x v="4"/>
    <x v="759"/>
    <x v="0"/>
    <x v="756"/>
    <n v="16.218162839248436"/>
    <m/>
  </r>
  <r>
    <x v="3"/>
    <x v="0"/>
    <s v="Injection"/>
    <s v="50 mg"/>
    <s v="10 ml"/>
    <n v="1616"/>
    <s v="$15777"/>
    <x v="127"/>
    <x v="4"/>
    <x v="760"/>
    <x v="0"/>
    <x v="757"/>
    <n v="9.7629950495049513"/>
    <m/>
  </r>
  <r>
    <x v="1"/>
    <x v="0"/>
    <s v="Syrup"/>
    <s v="100 mg/ml"/>
    <s v="50 g"/>
    <n v="922"/>
    <s v="$32819"/>
    <x v="18"/>
    <x v="3"/>
    <x v="761"/>
    <x v="2"/>
    <x v="758"/>
    <n v="35.595444685466376"/>
    <m/>
  </r>
  <r>
    <x v="0"/>
    <x v="0"/>
    <s v="Cream"/>
    <s v="10 mg"/>
    <n v="30"/>
    <n v="580"/>
    <s v="$41566"/>
    <x v="198"/>
    <x v="1"/>
    <x v="762"/>
    <x v="1"/>
    <x v="759"/>
    <n v="71.665517241379305"/>
    <m/>
  </r>
  <r>
    <x v="0"/>
    <x v="1"/>
    <s v="Tablet"/>
    <s v="250 mg"/>
    <s v="100 ml"/>
    <n v="561"/>
    <s v="$42268"/>
    <x v="158"/>
    <x v="2"/>
    <x v="763"/>
    <x v="4"/>
    <x v="760"/>
    <n v="75.344028520499108"/>
    <m/>
  </r>
  <r>
    <x v="2"/>
    <x v="0"/>
    <s v="Capsule"/>
    <s v="50 mg"/>
    <n v="30"/>
    <n v="1709"/>
    <s v="$28361"/>
    <x v="293"/>
    <x v="0"/>
    <x v="764"/>
    <x v="2"/>
    <x v="761"/>
    <n v="16.595084844938562"/>
    <m/>
  </r>
  <r>
    <x v="2"/>
    <x v="3"/>
    <s v="Tablet"/>
    <s v="500 mg"/>
    <s v="50 g"/>
    <n v="1662"/>
    <s v="$43524"/>
    <x v="219"/>
    <x v="3"/>
    <x v="765"/>
    <x v="2"/>
    <x v="762"/>
    <n v="26.187725631768952"/>
    <m/>
  </r>
  <r>
    <x v="4"/>
    <x v="1"/>
    <s v="Syrup"/>
    <s v="500 mg"/>
    <n v="30"/>
    <n v="643"/>
    <s v="$42567"/>
    <x v="43"/>
    <x v="0"/>
    <x v="766"/>
    <x v="1"/>
    <x v="763"/>
    <n v="66.200622083981344"/>
    <m/>
  </r>
  <r>
    <x v="3"/>
    <x v="1"/>
    <s v="Capsule"/>
    <s v="100 mg/ml"/>
    <s v="10 ml"/>
    <n v="1618"/>
    <s v="$11577"/>
    <x v="317"/>
    <x v="4"/>
    <x v="767"/>
    <x v="3"/>
    <x v="764"/>
    <n v="7.1551297898640298"/>
    <m/>
  </r>
  <r>
    <x v="0"/>
    <x v="0"/>
    <s v="Cream"/>
    <s v="500 mg"/>
    <n v="60"/>
    <n v="1616"/>
    <s v="$21763"/>
    <x v="3"/>
    <x v="3"/>
    <x v="768"/>
    <x v="0"/>
    <x v="765"/>
    <n v="13.467202970297029"/>
    <m/>
  </r>
  <r>
    <x v="0"/>
    <x v="1"/>
    <s v="Injection"/>
    <s v="50 mg"/>
    <n v="60"/>
    <n v="1817"/>
    <s v="$36872"/>
    <x v="183"/>
    <x v="4"/>
    <x v="769"/>
    <x v="1"/>
    <x v="766"/>
    <n v="20.292790313703907"/>
    <m/>
  </r>
  <r>
    <x v="4"/>
    <x v="4"/>
    <s v="Syrup"/>
    <s v="10 mg"/>
    <s v="100 ml"/>
    <n v="280"/>
    <s v="$29505"/>
    <x v="73"/>
    <x v="4"/>
    <x v="770"/>
    <x v="4"/>
    <x v="767"/>
    <n v="105.375"/>
    <m/>
  </r>
  <r>
    <x v="2"/>
    <x v="0"/>
    <s v="Cream"/>
    <s v="100 mg/ml"/>
    <s v="10 ml"/>
    <n v="519"/>
    <s v="$3961"/>
    <x v="165"/>
    <x v="4"/>
    <x v="771"/>
    <x v="3"/>
    <x v="768"/>
    <n v="7.6319845857418116"/>
    <m/>
  </r>
  <r>
    <x v="2"/>
    <x v="0"/>
    <s v="Capsule"/>
    <s v="250 mg"/>
    <s v="10 ml"/>
    <n v="1355"/>
    <s v="$9822"/>
    <x v="153"/>
    <x v="1"/>
    <x v="772"/>
    <x v="0"/>
    <x v="769"/>
    <n v="7.2487084870848708"/>
    <m/>
  </r>
  <r>
    <x v="4"/>
    <x v="2"/>
    <s v="Cream"/>
    <s v="500 mg"/>
    <s v="100 ml"/>
    <n v="1289"/>
    <s v="$40553"/>
    <x v="100"/>
    <x v="3"/>
    <x v="773"/>
    <x v="1"/>
    <x v="368"/>
    <n v="31.460822342901473"/>
    <m/>
  </r>
  <r>
    <x v="4"/>
    <x v="3"/>
    <s v="Injection"/>
    <s v="10 mg"/>
    <n v="60"/>
    <n v="1578"/>
    <s v="$18160"/>
    <x v="13"/>
    <x v="2"/>
    <x v="774"/>
    <x v="2"/>
    <x v="770"/>
    <n v="11.508238276299112"/>
    <m/>
  </r>
  <r>
    <x v="4"/>
    <x v="4"/>
    <s v="Cream"/>
    <s v="10 mg"/>
    <s v="100 ml"/>
    <n v="854"/>
    <s v="$45168"/>
    <x v="313"/>
    <x v="4"/>
    <x v="775"/>
    <x v="2"/>
    <x v="771"/>
    <n v="52.889929742388759"/>
    <m/>
  </r>
  <r>
    <x v="2"/>
    <x v="1"/>
    <s v="Injection"/>
    <s v="250 mg"/>
    <n v="30"/>
    <n v="1875"/>
    <s v="$19837"/>
    <x v="255"/>
    <x v="0"/>
    <x v="776"/>
    <x v="0"/>
    <x v="772"/>
    <n v="10.579733333333333"/>
    <m/>
  </r>
  <r>
    <x v="2"/>
    <x v="4"/>
    <s v="Cream"/>
    <s v="250 mg"/>
    <s v="50 g"/>
    <n v="1105"/>
    <s v="$16306"/>
    <x v="278"/>
    <x v="0"/>
    <x v="777"/>
    <x v="2"/>
    <x v="773"/>
    <n v="14.756561085972852"/>
    <m/>
  </r>
  <r>
    <x v="0"/>
    <x v="4"/>
    <s v="Cream"/>
    <s v="50 mg"/>
    <s v="100 ml"/>
    <n v="503"/>
    <s v="$28974"/>
    <x v="208"/>
    <x v="0"/>
    <x v="778"/>
    <x v="2"/>
    <x v="774"/>
    <n v="57.602385685884691"/>
    <m/>
  </r>
  <r>
    <x v="1"/>
    <x v="2"/>
    <s v="Syrup"/>
    <s v="50 mg"/>
    <n v="60"/>
    <n v="1354"/>
    <s v="$28539"/>
    <x v="318"/>
    <x v="4"/>
    <x v="779"/>
    <x v="0"/>
    <x v="775"/>
    <n v="21.077548005908419"/>
    <m/>
  </r>
  <r>
    <x v="2"/>
    <x v="2"/>
    <s v="Tablet"/>
    <s v="10 mg"/>
    <s v="100 ml"/>
    <n v="1716"/>
    <s v="$40609"/>
    <x v="208"/>
    <x v="2"/>
    <x v="780"/>
    <x v="4"/>
    <x v="776"/>
    <n v="23.664918414918414"/>
    <m/>
  </r>
  <r>
    <x v="0"/>
    <x v="2"/>
    <s v="Tablet"/>
    <s v="250 mg"/>
    <s v="50 g"/>
    <n v="1268"/>
    <s v="$38392"/>
    <x v="230"/>
    <x v="4"/>
    <x v="781"/>
    <x v="2"/>
    <x v="777"/>
    <n v="30.277602523659304"/>
    <m/>
  </r>
  <r>
    <x v="0"/>
    <x v="4"/>
    <s v="Tablet"/>
    <s v="500 mg"/>
    <n v="60"/>
    <n v="716"/>
    <s v="$38994"/>
    <x v="45"/>
    <x v="0"/>
    <x v="782"/>
    <x v="2"/>
    <x v="778"/>
    <n v="54.460893854748605"/>
    <m/>
  </r>
  <r>
    <x v="1"/>
    <x v="0"/>
    <s v="Tablet"/>
    <s v="250 mg"/>
    <s v="50 g"/>
    <n v="1467"/>
    <s v="$18147"/>
    <x v="176"/>
    <x v="2"/>
    <x v="783"/>
    <x v="3"/>
    <x v="779"/>
    <n v="12.370143149284253"/>
    <m/>
  </r>
  <r>
    <x v="0"/>
    <x v="1"/>
    <s v="Cream"/>
    <s v="250 mg"/>
    <n v="30"/>
    <n v="501"/>
    <s v="$8312"/>
    <x v="132"/>
    <x v="2"/>
    <x v="784"/>
    <x v="4"/>
    <x v="780"/>
    <n v="16.590818363273453"/>
    <m/>
  </r>
  <r>
    <x v="0"/>
    <x v="2"/>
    <s v="Cream"/>
    <s v="250 mg"/>
    <n v="30"/>
    <n v="1127"/>
    <s v="$29324"/>
    <x v="97"/>
    <x v="4"/>
    <x v="785"/>
    <x v="1"/>
    <x v="781"/>
    <n v="26.019520851818989"/>
    <m/>
  </r>
  <r>
    <x v="1"/>
    <x v="3"/>
    <s v="Syrup"/>
    <s v="10 mg"/>
    <s v="10 ml"/>
    <n v="814"/>
    <s v="$22816"/>
    <x v="167"/>
    <x v="2"/>
    <x v="786"/>
    <x v="0"/>
    <x v="782"/>
    <n v="28.029484029484028"/>
    <m/>
  </r>
  <r>
    <x v="4"/>
    <x v="0"/>
    <s v="Cream"/>
    <s v="10 mg"/>
    <s v="10 ml"/>
    <n v="1056"/>
    <s v="$4782"/>
    <x v="87"/>
    <x v="1"/>
    <x v="787"/>
    <x v="1"/>
    <x v="783"/>
    <n v="4.5284090909090908"/>
    <m/>
  </r>
  <r>
    <x v="4"/>
    <x v="1"/>
    <s v="Injection"/>
    <s v="10 mg"/>
    <s v="50 g"/>
    <n v="130"/>
    <s v="$3639"/>
    <x v="46"/>
    <x v="1"/>
    <x v="788"/>
    <x v="1"/>
    <x v="784"/>
    <n v="27.992307692307691"/>
    <m/>
  </r>
  <r>
    <x v="4"/>
    <x v="0"/>
    <s v="Tablet"/>
    <s v="500 mg"/>
    <s v="50 g"/>
    <n v="760"/>
    <s v="$16495"/>
    <x v="301"/>
    <x v="2"/>
    <x v="789"/>
    <x v="4"/>
    <x v="785"/>
    <n v="21.703947368421051"/>
    <m/>
  </r>
  <r>
    <x v="1"/>
    <x v="1"/>
    <s v="Tablet"/>
    <s v="250 mg"/>
    <s v="10 ml"/>
    <n v="961"/>
    <s v="$47213"/>
    <x v="258"/>
    <x v="1"/>
    <x v="790"/>
    <x v="3"/>
    <x v="786"/>
    <n v="49.12903225806452"/>
    <m/>
  </r>
  <r>
    <x v="4"/>
    <x v="1"/>
    <s v="Cream"/>
    <s v="100 mg/ml"/>
    <s v="10 ml"/>
    <n v="1410"/>
    <s v="$27514"/>
    <x v="274"/>
    <x v="0"/>
    <x v="791"/>
    <x v="2"/>
    <x v="787"/>
    <n v="19.513475177304965"/>
    <m/>
  </r>
  <r>
    <x v="2"/>
    <x v="1"/>
    <s v="Tablet"/>
    <s v="50 mg"/>
    <n v="60"/>
    <n v="1446"/>
    <s v="$22233"/>
    <x v="59"/>
    <x v="3"/>
    <x v="792"/>
    <x v="4"/>
    <x v="788"/>
    <n v="15.375518672199171"/>
    <m/>
  </r>
  <r>
    <x v="0"/>
    <x v="0"/>
    <s v="Syrup"/>
    <s v="500 mg"/>
    <n v="30"/>
    <n v="1694"/>
    <s v="$17518"/>
    <x v="17"/>
    <x v="1"/>
    <x v="793"/>
    <x v="1"/>
    <x v="789"/>
    <n v="10.34120425029516"/>
    <m/>
  </r>
  <r>
    <x v="2"/>
    <x v="3"/>
    <s v="Capsule"/>
    <s v="10 mg"/>
    <s v="10 ml"/>
    <n v="1834"/>
    <s v="$5964"/>
    <x v="319"/>
    <x v="0"/>
    <x v="794"/>
    <x v="2"/>
    <x v="790"/>
    <n v="3.2519083969465647"/>
    <m/>
  </r>
  <r>
    <x v="1"/>
    <x v="2"/>
    <s v="Capsule"/>
    <s v="250 mg"/>
    <s v="100 ml"/>
    <n v="737"/>
    <s v="$33901"/>
    <x v="200"/>
    <x v="4"/>
    <x v="795"/>
    <x v="1"/>
    <x v="791"/>
    <n v="45.998643147896878"/>
    <m/>
  </r>
  <r>
    <x v="3"/>
    <x v="2"/>
    <s v="Tablet"/>
    <s v="500 mg"/>
    <s v="100 ml"/>
    <n v="1027"/>
    <s v="$9819"/>
    <x v="269"/>
    <x v="3"/>
    <x v="796"/>
    <x v="1"/>
    <x v="792"/>
    <n v="9.5608568646543333"/>
    <m/>
  </r>
  <r>
    <x v="2"/>
    <x v="0"/>
    <s v="Tablet"/>
    <s v="500 mg"/>
    <s v="50 g"/>
    <n v="1000"/>
    <s v="$34947"/>
    <x v="93"/>
    <x v="0"/>
    <x v="797"/>
    <x v="3"/>
    <x v="793"/>
    <n v="34.947000000000003"/>
    <m/>
  </r>
  <r>
    <x v="0"/>
    <x v="2"/>
    <s v="Capsule"/>
    <s v="250 mg"/>
    <n v="60"/>
    <n v="1732"/>
    <s v="$43643"/>
    <x v="2"/>
    <x v="1"/>
    <x v="798"/>
    <x v="0"/>
    <x v="794"/>
    <n v="25.198036951501155"/>
    <m/>
  </r>
  <r>
    <x v="1"/>
    <x v="4"/>
    <s v="Cream"/>
    <s v="250 mg"/>
    <n v="30"/>
    <n v="1686"/>
    <s v="$38320"/>
    <x v="159"/>
    <x v="3"/>
    <x v="799"/>
    <x v="0"/>
    <x v="795"/>
    <n v="22.728351126927638"/>
    <m/>
  </r>
  <r>
    <x v="2"/>
    <x v="4"/>
    <s v="Tablet"/>
    <s v="50 mg"/>
    <s v="10 ml"/>
    <n v="1880"/>
    <s v="$13397"/>
    <x v="19"/>
    <x v="0"/>
    <x v="800"/>
    <x v="4"/>
    <x v="796"/>
    <n v="7.1260638297872338"/>
    <m/>
  </r>
  <r>
    <x v="2"/>
    <x v="2"/>
    <s v="Cream"/>
    <s v="10 mg"/>
    <s v="100 ml"/>
    <n v="363"/>
    <s v="$3071"/>
    <x v="20"/>
    <x v="2"/>
    <x v="801"/>
    <x v="3"/>
    <x v="797"/>
    <n v="8.4600550964187331"/>
    <m/>
  </r>
  <r>
    <x v="1"/>
    <x v="0"/>
    <s v="Capsule"/>
    <s v="10 mg"/>
    <s v="10 ml"/>
    <n v="152"/>
    <s v="$27219"/>
    <x v="182"/>
    <x v="4"/>
    <x v="802"/>
    <x v="1"/>
    <x v="798"/>
    <n v="179.07236842105263"/>
    <m/>
  </r>
  <r>
    <x v="4"/>
    <x v="1"/>
    <s v="Capsule"/>
    <s v="50 mg"/>
    <s v="50 g"/>
    <n v="1989"/>
    <s v="$39898"/>
    <x v="118"/>
    <x v="3"/>
    <x v="803"/>
    <x v="3"/>
    <x v="799"/>
    <n v="20.059326294620412"/>
    <m/>
  </r>
  <r>
    <x v="2"/>
    <x v="4"/>
    <s v="Cream"/>
    <s v="100 mg/ml"/>
    <n v="30"/>
    <n v="729"/>
    <s v="$17817"/>
    <x v="88"/>
    <x v="4"/>
    <x v="804"/>
    <x v="2"/>
    <x v="800"/>
    <n v="24.440329218106996"/>
    <m/>
  </r>
  <r>
    <x v="1"/>
    <x v="1"/>
    <s v="Injection"/>
    <s v="100 mg/ml"/>
    <s v="50 g"/>
    <n v="828"/>
    <s v="$3572"/>
    <x v="19"/>
    <x v="4"/>
    <x v="805"/>
    <x v="4"/>
    <x v="801"/>
    <n v="4.3140096618357484"/>
    <m/>
  </r>
  <r>
    <x v="1"/>
    <x v="4"/>
    <s v="Cream"/>
    <s v="10 mg"/>
    <n v="60"/>
    <n v="984"/>
    <s v="$43213"/>
    <x v="315"/>
    <x v="4"/>
    <x v="806"/>
    <x v="3"/>
    <x v="802"/>
    <n v="43.915650406504064"/>
    <m/>
  </r>
  <r>
    <x v="1"/>
    <x v="4"/>
    <s v="Syrup"/>
    <s v="10 mg"/>
    <s v="10 ml"/>
    <n v="1911"/>
    <s v="$40843"/>
    <x v="185"/>
    <x v="2"/>
    <x v="807"/>
    <x v="4"/>
    <x v="803"/>
    <n v="21.372579801151229"/>
    <m/>
  </r>
  <r>
    <x v="1"/>
    <x v="0"/>
    <s v="Cream"/>
    <s v="10 mg"/>
    <n v="30"/>
    <n v="846"/>
    <s v="$18094"/>
    <x v="166"/>
    <x v="2"/>
    <x v="808"/>
    <x v="3"/>
    <x v="804"/>
    <n v="21.387706855791961"/>
    <m/>
  </r>
  <r>
    <x v="4"/>
    <x v="1"/>
    <s v="Injection"/>
    <s v="10 mg"/>
    <s v="100 ml"/>
    <n v="415"/>
    <s v="$30785"/>
    <x v="320"/>
    <x v="1"/>
    <x v="809"/>
    <x v="1"/>
    <x v="805"/>
    <n v="74.180722891566262"/>
    <m/>
  </r>
  <r>
    <x v="4"/>
    <x v="2"/>
    <s v="Cream"/>
    <s v="10 mg"/>
    <s v="100 ml"/>
    <n v="1507"/>
    <s v="$32408"/>
    <x v="54"/>
    <x v="2"/>
    <x v="810"/>
    <x v="0"/>
    <x v="806"/>
    <n v="21.504976775049769"/>
    <m/>
  </r>
  <r>
    <x v="0"/>
    <x v="2"/>
    <s v="Injection"/>
    <s v="500 mg"/>
    <s v="50 g"/>
    <n v="889"/>
    <s v="$4285"/>
    <x v="321"/>
    <x v="0"/>
    <x v="811"/>
    <x v="0"/>
    <x v="807"/>
    <n v="4.8200224971878516"/>
    <m/>
  </r>
  <r>
    <x v="3"/>
    <x v="2"/>
    <s v="Tablet"/>
    <s v="50 mg"/>
    <n v="30"/>
    <n v="983"/>
    <s v="$39307"/>
    <x v="189"/>
    <x v="0"/>
    <x v="812"/>
    <x v="3"/>
    <x v="808"/>
    <n v="39.986775178026448"/>
    <m/>
  </r>
  <r>
    <x v="1"/>
    <x v="3"/>
    <s v="Syrup"/>
    <s v="100 mg/ml"/>
    <n v="60"/>
    <n v="743"/>
    <s v="$38388"/>
    <x v="200"/>
    <x v="4"/>
    <x v="813"/>
    <x v="1"/>
    <x v="809"/>
    <n v="51.666218034993271"/>
    <m/>
  </r>
  <r>
    <x v="4"/>
    <x v="2"/>
    <s v="Capsule"/>
    <s v="250 mg"/>
    <n v="30"/>
    <n v="255"/>
    <s v="$27581"/>
    <x v="297"/>
    <x v="0"/>
    <x v="509"/>
    <x v="3"/>
    <x v="810"/>
    <n v="108.16078431372549"/>
    <m/>
  </r>
  <r>
    <x v="4"/>
    <x v="3"/>
    <s v="Syrup"/>
    <s v="50 mg"/>
    <n v="30"/>
    <n v="965"/>
    <s v="$12117"/>
    <x v="131"/>
    <x v="2"/>
    <x v="814"/>
    <x v="2"/>
    <x v="811"/>
    <n v="12.556476683937824"/>
    <m/>
  </r>
  <r>
    <x v="1"/>
    <x v="1"/>
    <s v="Capsule"/>
    <s v="50 mg"/>
    <s v="10 ml"/>
    <n v="254"/>
    <s v="$2928"/>
    <x v="11"/>
    <x v="4"/>
    <x v="815"/>
    <x v="2"/>
    <x v="812"/>
    <n v="11.527559055118111"/>
    <m/>
  </r>
  <r>
    <x v="1"/>
    <x v="2"/>
    <s v="Injection"/>
    <s v="100 mg/ml"/>
    <n v="60"/>
    <n v="1006"/>
    <s v="$35619"/>
    <x v="99"/>
    <x v="0"/>
    <x v="816"/>
    <x v="2"/>
    <x v="813"/>
    <n v="35.406560636182903"/>
    <m/>
  </r>
  <r>
    <x v="1"/>
    <x v="1"/>
    <s v="Tablet"/>
    <s v="250 mg"/>
    <s v="10 ml"/>
    <n v="578"/>
    <s v="$21030"/>
    <x v="309"/>
    <x v="4"/>
    <x v="817"/>
    <x v="0"/>
    <x v="814"/>
    <n v="36.384083044982702"/>
    <m/>
  </r>
  <r>
    <x v="1"/>
    <x v="0"/>
    <s v="Capsule"/>
    <s v="100 mg/ml"/>
    <s v="100 ml"/>
    <n v="1284"/>
    <s v="$40997"/>
    <x v="73"/>
    <x v="4"/>
    <x v="818"/>
    <x v="3"/>
    <x v="815"/>
    <n v="31.929127725856699"/>
    <m/>
  </r>
  <r>
    <x v="2"/>
    <x v="2"/>
    <s v="Capsule"/>
    <s v="10 mg"/>
    <s v="100 ml"/>
    <n v="1832"/>
    <s v="$22662"/>
    <x v="187"/>
    <x v="1"/>
    <x v="819"/>
    <x v="4"/>
    <x v="816"/>
    <n v="12.370087336244541"/>
    <m/>
  </r>
  <r>
    <x v="2"/>
    <x v="4"/>
    <s v="Capsule"/>
    <s v="250 mg"/>
    <n v="60"/>
    <n v="698"/>
    <s v="$42700"/>
    <x v="131"/>
    <x v="3"/>
    <x v="820"/>
    <x v="2"/>
    <x v="817"/>
    <n v="61.174785100286535"/>
    <m/>
  </r>
  <r>
    <x v="4"/>
    <x v="0"/>
    <s v="Injection"/>
    <s v="50 mg"/>
    <s v="100 ml"/>
    <n v="174"/>
    <s v="$28115"/>
    <x v="272"/>
    <x v="1"/>
    <x v="821"/>
    <x v="1"/>
    <x v="818"/>
    <n v="161.58045977011494"/>
    <m/>
  </r>
  <r>
    <x v="4"/>
    <x v="4"/>
    <s v="Cream"/>
    <s v="250 mg"/>
    <s v="100 ml"/>
    <n v="247"/>
    <s v="$2564"/>
    <x v="322"/>
    <x v="4"/>
    <x v="822"/>
    <x v="2"/>
    <x v="819"/>
    <n v="10.380566801619434"/>
    <m/>
  </r>
  <r>
    <x v="0"/>
    <x v="2"/>
    <s v="Capsule"/>
    <s v="500 mg"/>
    <s v="10 ml"/>
    <n v="1585"/>
    <s v="$22796"/>
    <x v="219"/>
    <x v="3"/>
    <x v="823"/>
    <x v="2"/>
    <x v="820"/>
    <n v="14.382334384858044"/>
    <m/>
  </r>
  <r>
    <x v="1"/>
    <x v="3"/>
    <s v="Tablet"/>
    <s v="50 mg"/>
    <s v="50 g"/>
    <n v="1212"/>
    <s v="$30821"/>
    <x v="323"/>
    <x v="0"/>
    <x v="824"/>
    <x v="4"/>
    <x v="821"/>
    <n v="25.42986798679868"/>
    <m/>
  </r>
  <r>
    <x v="1"/>
    <x v="3"/>
    <s v="Syrup"/>
    <s v="100 mg/ml"/>
    <s v="100 ml"/>
    <n v="1322"/>
    <s v="$41761"/>
    <x v="290"/>
    <x v="0"/>
    <x v="825"/>
    <x v="2"/>
    <x v="822"/>
    <n v="31.589258698940998"/>
    <m/>
  </r>
  <r>
    <x v="4"/>
    <x v="1"/>
    <s v="Cream"/>
    <s v="50 mg"/>
    <n v="60"/>
    <n v="1258"/>
    <s v="$22547"/>
    <x v="131"/>
    <x v="3"/>
    <x v="826"/>
    <x v="1"/>
    <x v="823"/>
    <n v="17.922893481717011"/>
    <m/>
  </r>
  <r>
    <x v="1"/>
    <x v="2"/>
    <s v="Cream"/>
    <s v="50 mg"/>
    <s v="10 ml"/>
    <n v="1589"/>
    <s v="$28938"/>
    <x v="236"/>
    <x v="0"/>
    <x v="827"/>
    <x v="1"/>
    <x v="824"/>
    <n v="18.211453744493394"/>
    <m/>
  </r>
  <r>
    <x v="0"/>
    <x v="2"/>
    <s v="Tablet"/>
    <s v="500 mg"/>
    <s v="10 ml"/>
    <n v="908"/>
    <s v="$44347"/>
    <x v="236"/>
    <x v="2"/>
    <x v="828"/>
    <x v="1"/>
    <x v="825"/>
    <n v="48.840308370044056"/>
    <m/>
  </r>
  <r>
    <x v="1"/>
    <x v="3"/>
    <s v="Injection"/>
    <s v="100 mg/ml"/>
    <n v="60"/>
    <n v="888"/>
    <s v="$22714"/>
    <x v="33"/>
    <x v="2"/>
    <x v="829"/>
    <x v="2"/>
    <x v="826"/>
    <n v="25.578828828828829"/>
    <m/>
  </r>
  <r>
    <x v="0"/>
    <x v="3"/>
    <s v="Cream"/>
    <s v="250 mg"/>
    <n v="60"/>
    <n v="1591"/>
    <s v="$6484"/>
    <x v="181"/>
    <x v="2"/>
    <x v="830"/>
    <x v="0"/>
    <x v="827"/>
    <n v="4.075424261470773"/>
    <m/>
  </r>
  <r>
    <x v="0"/>
    <x v="3"/>
    <s v="Syrup"/>
    <s v="50 mg"/>
    <s v="50 g"/>
    <n v="1266"/>
    <s v="$27371"/>
    <x v="5"/>
    <x v="4"/>
    <x v="831"/>
    <x v="0"/>
    <x v="828"/>
    <n v="21.620063191153239"/>
    <m/>
  </r>
  <r>
    <x v="2"/>
    <x v="2"/>
    <s v="Capsule"/>
    <s v="10 mg"/>
    <n v="30"/>
    <n v="1335"/>
    <s v="$1534"/>
    <x v="300"/>
    <x v="3"/>
    <x v="832"/>
    <x v="2"/>
    <x v="829"/>
    <n v="1.149063670411985"/>
    <m/>
  </r>
  <r>
    <x v="4"/>
    <x v="3"/>
    <s v="Tablet"/>
    <s v="10 mg"/>
    <n v="30"/>
    <n v="790"/>
    <s v="$9353"/>
    <x v="298"/>
    <x v="3"/>
    <x v="833"/>
    <x v="0"/>
    <x v="830"/>
    <n v="11.839240506329114"/>
    <m/>
  </r>
  <r>
    <x v="2"/>
    <x v="0"/>
    <s v="Tablet"/>
    <s v="100 mg/ml"/>
    <s v="10 ml"/>
    <n v="408"/>
    <s v="$31302"/>
    <x v="324"/>
    <x v="0"/>
    <x v="834"/>
    <x v="0"/>
    <x v="831"/>
    <n v="76.720588235294116"/>
    <m/>
  </r>
  <r>
    <x v="3"/>
    <x v="0"/>
    <s v="Injection"/>
    <s v="250 mg"/>
    <s v="50 g"/>
    <n v="1613"/>
    <s v="$49778"/>
    <x v="236"/>
    <x v="0"/>
    <x v="835"/>
    <x v="0"/>
    <x v="832"/>
    <n v="30.860508369497829"/>
    <m/>
  </r>
  <r>
    <x v="0"/>
    <x v="2"/>
    <s v="Capsule"/>
    <s v="500 mg"/>
    <s v="50 g"/>
    <n v="1046"/>
    <s v="$41599"/>
    <x v="325"/>
    <x v="0"/>
    <x v="836"/>
    <x v="3"/>
    <x v="833"/>
    <n v="39.769598470363292"/>
    <m/>
  </r>
  <r>
    <x v="3"/>
    <x v="0"/>
    <s v="Syrup"/>
    <s v="250 mg"/>
    <n v="60"/>
    <n v="769"/>
    <s v="$38634"/>
    <x v="141"/>
    <x v="2"/>
    <x v="837"/>
    <x v="0"/>
    <x v="834"/>
    <n v="50.239271781534462"/>
    <m/>
  </r>
  <r>
    <x v="4"/>
    <x v="3"/>
    <s v="Tablet"/>
    <s v="250 mg"/>
    <n v="30"/>
    <n v="1661"/>
    <s v="$40534"/>
    <x v="57"/>
    <x v="3"/>
    <x v="838"/>
    <x v="1"/>
    <x v="835"/>
    <n v="24.403371462974111"/>
    <m/>
  </r>
  <r>
    <x v="4"/>
    <x v="4"/>
    <s v="Injection"/>
    <s v="50 mg"/>
    <s v="100 ml"/>
    <n v="1541"/>
    <s v="$36377"/>
    <x v="326"/>
    <x v="0"/>
    <x v="839"/>
    <x v="3"/>
    <x v="836"/>
    <n v="23.606099935107075"/>
    <m/>
  </r>
  <r>
    <x v="2"/>
    <x v="4"/>
    <s v="Injection"/>
    <s v="250 mg"/>
    <s v="50 g"/>
    <n v="286"/>
    <s v="$30863"/>
    <x v="186"/>
    <x v="3"/>
    <x v="840"/>
    <x v="3"/>
    <x v="837"/>
    <n v="107.91258741258741"/>
    <m/>
  </r>
  <r>
    <x v="2"/>
    <x v="1"/>
    <s v="Cream"/>
    <s v="100 mg/ml"/>
    <s v="100 ml"/>
    <n v="1432"/>
    <s v="$43247"/>
    <x v="318"/>
    <x v="1"/>
    <x v="841"/>
    <x v="4"/>
    <x v="838"/>
    <n v="30.200418994413408"/>
    <m/>
  </r>
  <r>
    <x v="1"/>
    <x v="2"/>
    <s v="Tablet"/>
    <s v="500 mg"/>
    <s v="50 g"/>
    <n v="249"/>
    <s v="$21795"/>
    <x v="327"/>
    <x v="2"/>
    <x v="842"/>
    <x v="1"/>
    <x v="839"/>
    <n v="87.53012048192771"/>
    <m/>
  </r>
  <r>
    <x v="0"/>
    <x v="0"/>
    <s v="Cream"/>
    <s v="10 mg"/>
    <n v="30"/>
    <n v="1441"/>
    <s v="$15841"/>
    <x v="328"/>
    <x v="1"/>
    <x v="843"/>
    <x v="4"/>
    <x v="840"/>
    <n v="10.993060374739764"/>
    <m/>
  </r>
  <r>
    <x v="0"/>
    <x v="1"/>
    <s v="Syrup"/>
    <s v="500 mg"/>
    <n v="30"/>
    <n v="1951"/>
    <s v="$18265"/>
    <x v="279"/>
    <x v="1"/>
    <x v="844"/>
    <x v="1"/>
    <x v="841"/>
    <n v="9.3618657098923634"/>
    <m/>
  </r>
  <r>
    <x v="0"/>
    <x v="3"/>
    <s v="Cream"/>
    <s v="500 mg"/>
    <s v="100 ml"/>
    <n v="1017"/>
    <s v="$10342"/>
    <x v="97"/>
    <x v="4"/>
    <x v="845"/>
    <x v="1"/>
    <x v="842"/>
    <n v="10.169124877089478"/>
    <m/>
  </r>
  <r>
    <x v="3"/>
    <x v="0"/>
    <s v="Syrup"/>
    <s v="250 mg"/>
    <n v="60"/>
    <n v="1287"/>
    <s v="$45058"/>
    <x v="58"/>
    <x v="4"/>
    <x v="846"/>
    <x v="4"/>
    <x v="843"/>
    <n v="35.01010101010101"/>
    <m/>
  </r>
  <r>
    <x v="0"/>
    <x v="4"/>
    <s v="Tablet"/>
    <s v="10 mg"/>
    <s v="100 ml"/>
    <n v="1236"/>
    <s v="$48538"/>
    <x v="97"/>
    <x v="0"/>
    <x v="847"/>
    <x v="4"/>
    <x v="844"/>
    <n v="39.270226537216828"/>
    <m/>
  </r>
  <r>
    <x v="1"/>
    <x v="3"/>
    <s v="Capsule"/>
    <s v="10 mg"/>
    <s v="10 ml"/>
    <n v="1368"/>
    <s v="$6205"/>
    <x v="329"/>
    <x v="4"/>
    <x v="848"/>
    <x v="3"/>
    <x v="845"/>
    <n v="4.5358187134502925"/>
    <m/>
  </r>
  <r>
    <x v="3"/>
    <x v="2"/>
    <s v="Capsule"/>
    <s v="100 mg/ml"/>
    <s v="100 ml"/>
    <n v="936"/>
    <s v="$10109"/>
    <x v="227"/>
    <x v="2"/>
    <x v="849"/>
    <x v="2"/>
    <x v="846"/>
    <n v="10.800213675213675"/>
    <m/>
  </r>
  <r>
    <x v="2"/>
    <x v="2"/>
    <s v="Injection"/>
    <s v="500 mg"/>
    <n v="60"/>
    <n v="676"/>
    <s v="$37726"/>
    <x v="98"/>
    <x v="2"/>
    <x v="850"/>
    <x v="0"/>
    <x v="847"/>
    <n v="55.807692307692307"/>
    <m/>
  </r>
  <r>
    <x v="1"/>
    <x v="3"/>
    <s v="Injection"/>
    <s v="100 mg/ml"/>
    <n v="30"/>
    <n v="338"/>
    <s v="$11276"/>
    <x v="272"/>
    <x v="1"/>
    <x v="851"/>
    <x v="4"/>
    <x v="848"/>
    <n v="33.360946745562131"/>
    <m/>
  </r>
  <r>
    <x v="3"/>
    <x v="0"/>
    <s v="Capsule"/>
    <s v="500 mg"/>
    <s v="50 g"/>
    <n v="1131"/>
    <s v="$33794"/>
    <x v="149"/>
    <x v="2"/>
    <x v="852"/>
    <x v="4"/>
    <x v="849"/>
    <n v="29.879752431476568"/>
    <m/>
  </r>
  <r>
    <x v="0"/>
    <x v="2"/>
    <s v="Cream"/>
    <s v="10 mg"/>
    <s v="100 ml"/>
    <n v="1415"/>
    <s v="$40903"/>
    <x v="73"/>
    <x v="0"/>
    <x v="853"/>
    <x v="2"/>
    <x v="850"/>
    <n v="28.906713780918729"/>
    <m/>
  </r>
  <r>
    <x v="2"/>
    <x v="3"/>
    <s v="Capsule"/>
    <s v="250 mg"/>
    <s v="50 g"/>
    <n v="1737"/>
    <s v="$27260"/>
    <x v="185"/>
    <x v="4"/>
    <x v="854"/>
    <x v="1"/>
    <x v="851"/>
    <n v="15.693724812895798"/>
    <m/>
  </r>
  <r>
    <x v="1"/>
    <x v="1"/>
    <s v="Syrup"/>
    <s v="50 mg"/>
    <s v="100 ml"/>
    <n v="689"/>
    <s v="$19199"/>
    <x v="102"/>
    <x v="1"/>
    <x v="855"/>
    <x v="4"/>
    <x v="852"/>
    <n v="27.865021770682148"/>
    <m/>
  </r>
  <r>
    <x v="4"/>
    <x v="0"/>
    <s v="Tablet"/>
    <s v="250 mg"/>
    <n v="30"/>
    <n v="961"/>
    <s v="$17111"/>
    <x v="228"/>
    <x v="3"/>
    <x v="856"/>
    <x v="0"/>
    <x v="853"/>
    <n v="17.805411030176899"/>
    <m/>
  </r>
  <r>
    <x v="1"/>
    <x v="0"/>
    <s v="Tablet"/>
    <s v="250 mg"/>
    <s v="100 ml"/>
    <n v="523"/>
    <s v="$39012"/>
    <x v="286"/>
    <x v="1"/>
    <x v="857"/>
    <x v="3"/>
    <x v="854"/>
    <n v="74.592734225621413"/>
    <m/>
  </r>
  <r>
    <x v="2"/>
    <x v="0"/>
    <s v="Cream"/>
    <s v="100 mg/ml"/>
    <s v="100 ml"/>
    <n v="124"/>
    <s v="$17741"/>
    <x v="132"/>
    <x v="4"/>
    <x v="858"/>
    <x v="1"/>
    <x v="855"/>
    <n v="143.07258064516128"/>
    <m/>
  </r>
  <r>
    <x v="0"/>
    <x v="4"/>
    <s v="Injection"/>
    <s v="50 mg"/>
    <s v="100 ml"/>
    <n v="1579"/>
    <s v="$29112"/>
    <x v="134"/>
    <x v="2"/>
    <x v="859"/>
    <x v="3"/>
    <x v="856"/>
    <n v="18.436985433818872"/>
    <m/>
  </r>
  <r>
    <x v="4"/>
    <x v="2"/>
    <s v="Injection"/>
    <s v="10 mg"/>
    <n v="30"/>
    <n v="465"/>
    <s v="$47839"/>
    <x v="113"/>
    <x v="3"/>
    <x v="860"/>
    <x v="2"/>
    <x v="857"/>
    <n v="102.87956989247311"/>
    <m/>
  </r>
  <r>
    <x v="0"/>
    <x v="2"/>
    <s v="Tablet"/>
    <s v="500 mg"/>
    <s v="50 g"/>
    <n v="106"/>
    <s v="$16139"/>
    <x v="322"/>
    <x v="3"/>
    <x v="861"/>
    <x v="0"/>
    <x v="858"/>
    <n v="152.25471698113208"/>
    <m/>
  </r>
  <r>
    <x v="4"/>
    <x v="0"/>
    <s v="Cream"/>
    <s v="10 mg"/>
    <s v="100 ml"/>
    <n v="129"/>
    <s v="$33103"/>
    <x v="294"/>
    <x v="2"/>
    <x v="862"/>
    <x v="2"/>
    <x v="859"/>
    <n v="256.61240310077517"/>
    <m/>
  </r>
  <r>
    <x v="2"/>
    <x v="2"/>
    <s v="Injection"/>
    <s v="100 mg/ml"/>
    <n v="30"/>
    <n v="179"/>
    <s v="$44121"/>
    <x v="330"/>
    <x v="2"/>
    <x v="863"/>
    <x v="1"/>
    <x v="860"/>
    <n v="246.48603351955308"/>
    <m/>
  </r>
  <r>
    <x v="3"/>
    <x v="1"/>
    <s v="Capsule"/>
    <s v="500 mg"/>
    <n v="30"/>
    <n v="509"/>
    <s v="$10346"/>
    <x v="329"/>
    <x v="1"/>
    <x v="864"/>
    <x v="2"/>
    <x v="861"/>
    <n v="20.326129666011788"/>
    <m/>
  </r>
  <r>
    <x v="3"/>
    <x v="3"/>
    <s v="Injection"/>
    <s v="10 mg"/>
    <n v="60"/>
    <n v="1543"/>
    <s v="$28043"/>
    <x v="88"/>
    <x v="0"/>
    <x v="865"/>
    <x v="4"/>
    <x v="862"/>
    <n v="18.174335709656514"/>
    <m/>
  </r>
  <r>
    <x v="2"/>
    <x v="2"/>
    <s v="Cream"/>
    <s v="250 mg"/>
    <s v="100 ml"/>
    <n v="517"/>
    <s v="$39197"/>
    <x v="331"/>
    <x v="0"/>
    <x v="866"/>
    <x v="1"/>
    <x v="863"/>
    <n v="75.816247582205023"/>
    <m/>
  </r>
  <r>
    <x v="1"/>
    <x v="1"/>
    <s v="Syrup"/>
    <s v="50 mg"/>
    <n v="60"/>
    <n v="938"/>
    <s v="$27950"/>
    <x v="115"/>
    <x v="2"/>
    <x v="867"/>
    <x v="0"/>
    <x v="864"/>
    <n v="29.797441364605543"/>
    <m/>
  </r>
  <r>
    <x v="0"/>
    <x v="4"/>
    <s v="Tablet"/>
    <s v="50 mg"/>
    <n v="60"/>
    <n v="1468"/>
    <s v="$33405"/>
    <x v="150"/>
    <x v="3"/>
    <x v="868"/>
    <x v="2"/>
    <x v="865"/>
    <n v="22.755449591280655"/>
    <m/>
  </r>
  <r>
    <x v="1"/>
    <x v="4"/>
    <s v="Tablet"/>
    <s v="100 mg/ml"/>
    <s v="100 ml"/>
    <n v="1397"/>
    <s v="$14728"/>
    <x v="182"/>
    <x v="1"/>
    <x v="869"/>
    <x v="3"/>
    <x v="866"/>
    <n v="10.542591267000716"/>
    <m/>
  </r>
  <r>
    <x v="4"/>
    <x v="0"/>
    <s v="Cream"/>
    <s v="250 mg"/>
    <s v="10 ml"/>
    <n v="230"/>
    <s v="$44042"/>
    <x v="228"/>
    <x v="4"/>
    <x v="870"/>
    <x v="3"/>
    <x v="867"/>
    <n v="191.48695652173913"/>
    <m/>
  </r>
  <r>
    <x v="4"/>
    <x v="0"/>
    <s v="Tablet"/>
    <s v="100 mg/ml"/>
    <n v="60"/>
    <n v="498"/>
    <s v="$26954"/>
    <x v="84"/>
    <x v="4"/>
    <x v="871"/>
    <x v="3"/>
    <x v="868"/>
    <n v="54.124497991967871"/>
    <m/>
  </r>
  <r>
    <x v="2"/>
    <x v="4"/>
    <s v="Cream"/>
    <s v="50 mg"/>
    <s v="100 ml"/>
    <n v="1501"/>
    <s v="$49128"/>
    <x v="274"/>
    <x v="0"/>
    <x v="872"/>
    <x v="4"/>
    <x v="869"/>
    <n v="32.730179880079945"/>
    <m/>
  </r>
  <r>
    <x v="0"/>
    <x v="1"/>
    <s v="Syrup"/>
    <s v="50 mg"/>
    <n v="30"/>
    <n v="190"/>
    <s v="$40850"/>
    <x v="110"/>
    <x v="2"/>
    <x v="873"/>
    <x v="4"/>
    <x v="870"/>
    <n v="215"/>
    <m/>
  </r>
  <r>
    <x v="1"/>
    <x v="3"/>
    <s v="Injection"/>
    <s v="10 mg"/>
    <n v="30"/>
    <n v="1984"/>
    <s v="$49839"/>
    <x v="13"/>
    <x v="3"/>
    <x v="874"/>
    <x v="0"/>
    <x v="871"/>
    <n v="25.12046370967742"/>
    <m/>
  </r>
  <r>
    <x v="4"/>
    <x v="3"/>
    <s v="Capsule"/>
    <s v="500 mg"/>
    <s v="50 g"/>
    <n v="1919"/>
    <s v="$29695"/>
    <x v="237"/>
    <x v="0"/>
    <x v="875"/>
    <x v="3"/>
    <x v="872"/>
    <n v="15.474205315268369"/>
    <m/>
  </r>
  <r>
    <x v="0"/>
    <x v="4"/>
    <s v="Capsule"/>
    <s v="500 mg"/>
    <s v="10 ml"/>
    <n v="655"/>
    <s v="$8141"/>
    <x v="2"/>
    <x v="2"/>
    <x v="876"/>
    <x v="2"/>
    <x v="873"/>
    <n v="12.429007633587787"/>
    <m/>
  </r>
  <r>
    <x v="4"/>
    <x v="0"/>
    <s v="Cream"/>
    <s v="100 mg/ml"/>
    <n v="30"/>
    <n v="935"/>
    <s v="$46285"/>
    <x v="41"/>
    <x v="2"/>
    <x v="877"/>
    <x v="4"/>
    <x v="874"/>
    <n v="49.502673796791441"/>
    <m/>
  </r>
  <r>
    <x v="1"/>
    <x v="0"/>
    <s v="Cream"/>
    <s v="50 mg"/>
    <n v="30"/>
    <n v="1565"/>
    <s v="$13345"/>
    <x v="139"/>
    <x v="1"/>
    <x v="878"/>
    <x v="3"/>
    <x v="875"/>
    <n v="8.5271565495207664"/>
    <m/>
  </r>
  <r>
    <x v="0"/>
    <x v="3"/>
    <s v="Tablet"/>
    <s v="100 mg/ml"/>
    <s v="50 g"/>
    <n v="769"/>
    <s v="$24713"/>
    <x v="84"/>
    <x v="3"/>
    <x v="879"/>
    <x v="4"/>
    <x v="876"/>
    <n v="32.136540962288684"/>
    <m/>
  </r>
  <r>
    <x v="1"/>
    <x v="2"/>
    <s v="Capsule"/>
    <s v="250 mg"/>
    <s v="10 ml"/>
    <n v="1624"/>
    <s v="$13764"/>
    <x v="181"/>
    <x v="1"/>
    <x v="880"/>
    <x v="4"/>
    <x v="877"/>
    <n v="8.4753694581280783"/>
    <m/>
  </r>
  <r>
    <x v="3"/>
    <x v="0"/>
    <s v="Syrup"/>
    <s v="50 mg"/>
    <n v="60"/>
    <n v="676"/>
    <s v="$35872"/>
    <x v="306"/>
    <x v="3"/>
    <x v="881"/>
    <x v="3"/>
    <x v="878"/>
    <n v="53.065088757396452"/>
    <m/>
  </r>
  <r>
    <x v="3"/>
    <x v="3"/>
    <s v="Syrup"/>
    <s v="50 mg"/>
    <s v="50 g"/>
    <n v="906"/>
    <s v="$12431"/>
    <x v="216"/>
    <x v="4"/>
    <x v="882"/>
    <x v="0"/>
    <x v="879"/>
    <n v="13.72075055187638"/>
    <m/>
  </r>
  <r>
    <x v="3"/>
    <x v="3"/>
    <s v="Cream"/>
    <s v="50 mg"/>
    <s v="10 ml"/>
    <n v="1870"/>
    <s v="$4688"/>
    <x v="20"/>
    <x v="0"/>
    <x v="883"/>
    <x v="2"/>
    <x v="723"/>
    <n v="2.5069518716577539"/>
    <m/>
  </r>
  <r>
    <x v="3"/>
    <x v="0"/>
    <s v="Capsule"/>
    <s v="100 mg/ml"/>
    <s v="50 g"/>
    <n v="1810"/>
    <s v="$27443"/>
    <x v="4"/>
    <x v="3"/>
    <x v="884"/>
    <x v="2"/>
    <x v="880"/>
    <n v="15.161878453038675"/>
    <m/>
  </r>
  <r>
    <x v="0"/>
    <x v="1"/>
    <s v="Capsule"/>
    <s v="10 mg"/>
    <n v="60"/>
    <n v="427"/>
    <s v="$8379"/>
    <x v="32"/>
    <x v="4"/>
    <x v="885"/>
    <x v="0"/>
    <x v="881"/>
    <n v="19.622950819672131"/>
    <m/>
  </r>
  <r>
    <x v="4"/>
    <x v="1"/>
    <s v="Injection"/>
    <s v="50 mg"/>
    <s v="100 ml"/>
    <n v="1340"/>
    <s v="$32355"/>
    <x v="77"/>
    <x v="4"/>
    <x v="886"/>
    <x v="2"/>
    <x v="882"/>
    <n v="24.145522388059703"/>
    <m/>
  </r>
  <r>
    <x v="2"/>
    <x v="2"/>
    <s v="Cream"/>
    <s v="50 mg"/>
    <n v="60"/>
    <n v="1084"/>
    <s v="$40033"/>
    <x v="120"/>
    <x v="4"/>
    <x v="887"/>
    <x v="0"/>
    <x v="883"/>
    <n v="36.930811808118079"/>
    <m/>
  </r>
  <r>
    <x v="2"/>
    <x v="0"/>
    <s v="Capsule"/>
    <s v="500 mg"/>
    <n v="60"/>
    <n v="1441"/>
    <s v="$5001"/>
    <x v="332"/>
    <x v="1"/>
    <x v="888"/>
    <x v="3"/>
    <x v="884"/>
    <n v="3.4705065926439973"/>
    <m/>
  </r>
  <r>
    <x v="1"/>
    <x v="1"/>
    <s v="Cream"/>
    <s v="500 mg"/>
    <s v="100 ml"/>
    <n v="1440"/>
    <s v="$35398"/>
    <x v="100"/>
    <x v="0"/>
    <x v="889"/>
    <x v="2"/>
    <x v="885"/>
    <n v="24.581944444444446"/>
    <m/>
  </r>
  <r>
    <x v="3"/>
    <x v="4"/>
    <s v="Syrup"/>
    <s v="100 mg/ml"/>
    <s v="100 ml"/>
    <n v="891"/>
    <s v="$27927"/>
    <x v="29"/>
    <x v="4"/>
    <x v="890"/>
    <x v="0"/>
    <x v="886"/>
    <n v="31.343434343434343"/>
    <m/>
  </r>
  <r>
    <x v="3"/>
    <x v="1"/>
    <s v="Cream"/>
    <s v="100 mg/ml"/>
    <n v="30"/>
    <n v="1718"/>
    <s v="$27940"/>
    <x v="38"/>
    <x v="1"/>
    <x v="891"/>
    <x v="0"/>
    <x v="887"/>
    <n v="16.263096623981372"/>
    <m/>
  </r>
  <r>
    <x v="4"/>
    <x v="1"/>
    <s v="Cream"/>
    <s v="50 mg"/>
    <s v="50 g"/>
    <n v="1367"/>
    <s v="$45734"/>
    <x v="333"/>
    <x v="0"/>
    <x v="892"/>
    <x v="2"/>
    <x v="888"/>
    <n v="33.455742501828823"/>
    <m/>
  </r>
  <r>
    <x v="3"/>
    <x v="3"/>
    <s v="Injection"/>
    <s v="100 mg/ml"/>
    <s v="100 ml"/>
    <n v="1899"/>
    <s v="$19924"/>
    <x v="86"/>
    <x v="2"/>
    <x v="893"/>
    <x v="0"/>
    <x v="889"/>
    <n v="10.491837809373354"/>
    <m/>
  </r>
  <r>
    <x v="1"/>
    <x v="3"/>
    <s v="Tablet"/>
    <s v="500 mg"/>
    <s v="100 ml"/>
    <n v="824"/>
    <s v="$49294"/>
    <x v="62"/>
    <x v="4"/>
    <x v="894"/>
    <x v="0"/>
    <x v="890"/>
    <n v="59.822815533980581"/>
    <m/>
  </r>
  <r>
    <x v="3"/>
    <x v="0"/>
    <s v="Cream"/>
    <s v="250 mg"/>
    <s v="100 ml"/>
    <n v="1964"/>
    <s v="$33741"/>
    <x v="334"/>
    <x v="4"/>
    <x v="895"/>
    <x v="3"/>
    <x v="891"/>
    <n v="17.179735234215887"/>
    <m/>
  </r>
  <r>
    <x v="0"/>
    <x v="0"/>
    <s v="Tablet"/>
    <s v="50 mg"/>
    <s v="50 g"/>
    <n v="1091"/>
    <s v="$46316"/>
    <x v="161"/>
    <x v="2"/>
    <x v="896"/>
    <x v="0"/>
    <x v="892"/>
    <n v="42.452795600366635"/>
    <m/>
  </r>
  <r>
    <x v="3"/>
    <x v="4"/>
    <s v="Tablet"/>
    <s v="100 mg/ml"/>
    <s v="10 ml"/>
    <n v="247"/>
    <s v="$35441"/>
    <x v="87"/>
    <x v="0"/>
    <x v="897"/>
    <x v="3"/>
    <x v="893"/>
    <n v="143.48582995951418"/>
    <m/>
  </r>
  <r>
    <x v="4"/>
    <x v="2"/>
    <s v="Capsule"/>
    <s v="100 mg/ml"/>
    <n v="60"/>
    <n v="1598"/>
    <s v="$4074"/>
    <x v="136"/>
    <x v="3"/>
    <x v="898"/>
    <x v="1"/>
    <x v="894"/>
    <n v="2.549436795994994"/>
    <m/>
  </r>
  <r>
    <x v="3"/>
    <x v="1"/>
    <s v="Capsule"/>
    <s v="50 mg"/>
    <s v="50 g"/>
    <n v="679"/>
    <s v="$22164"/>
    <x v="49"/>
    <x v="1"/>
    <x v="899"/>
    <x v="2"/>
    <x v="895"/>
    <n v="32.642120765832104"/>
    <m/>
  </r>
  <r>
    <x v="1"/>
    <x v="2"/>
    <s v="Injection"/>
    <s v="250 mg"/>
    <n v="30"/>
    <n v="1521"/>
    <s v="$35865"/>
    <x v="106"/>
    <x v="3"/>
    <x v="900"/>
    <x v="0"/>
    <x v="896"/>
    <n v="23.579881656804734"/>
    <m/>
  </r>
  <r>
    <x v="2"/>
    <x v="0"/>
    <s v="Tablet"/>
    <s v="250 mg"/>
    <n v="60"/>
    <n v="347"/>
    <s v="$25965"/>
    <x v="145"/>
    <x v="1"/>
    <x v="901"/>
    <x v="0"/>
    <x v="897"/>
    <n v="74.827089337175792"/>
    <m/>
  </r>
  <r>
    <x v="3"/>
    <x v="3"/>
    <s v="Injection"/>
    <s v="10 mg"/>
    <s v="100 ml"/>
    <n v="740"/>
    <s v="$37678"/>
    <x v="282"/>
    <x v="2"/>
    <x v="902"/>
    <x v="0"/>
    <x v="735"/>
    <n v="50.916216216216213"/>
    <m/>
  </r>
  <r>
    <x v="0"/>
    <x v="2"/>
    <s v="Tablet"/>
    <s v="100 mg/ml"/>
    <n v="60"/>
    <n v="872"/>
    <s v="$10189"/>
    <x v="105"/>
    <x v="2"/>
    <x v="903"/>
    <x v="3"/>
    <x v="898"/>
    <n v="11.684633027522937"/>
    <m/>
  </r>
  <r>
    <x v="1"/>
    <x v="3"/>
    <s v="Cream"/>
    <s v="10 mg"/>
    <s v="10 ml"/>
    <n v="449"/>
    <s v="$18843"/>
    <x v="304"/>
    <x v="0"/>
    <x v="904"/>
    <x v="2"/>
    <x v="899"/>
    <n v="41.966592427616924"/>
    <m/>
  </r>
  <r>
    <x v="0"/>
    <x v="4"/>
    <s v="Syrup"/>
    <s v="500 mg"/>
    <s v="100 ml"/>
    <n v="1835"/>
    <s v="$37032"/>
    <x v="176"/>
    <x v="0"/>
    <x v="905"/>
    <x v="0"/>
    <x v="900"/>
    <n v="20.180926430517712"/>
    <m/>
  </r>
  <r>
    <x v="0"/>
    <x v="3"/>
    <s v="Cream"/>
    <s v="10 mg"/>
    <n v="30"/>
    <n v="413"/>
    <s v="$38333"/>
    <x v="173"/>
    <x v="3"/>
    <x v="906"/>
    <x v="0"/>
    <x v="901"/>
    <n v="92.815980629539951"/>
    <m/>
  </r>
  <r>
    <x v="4"/>
    <x v="2"/>
    <s v="Syrup"/>
    <s v="500 mg"/>
    <n v="30"/>
    <n v="913"/>
    <s v="$42870"/>
    <x v="86"/>
    <x v="4"/>
    <x v="907"/>
    <x v="0"/>
    <x v="902"/>
    <n v="46.955093099671416"/>
    <m/>
  </r>
  <r>
    <x v="2"/>
    <x v="4"/>
    <s v="Cream"/>
    <s v="250 mg"/>
    <s v="100 ml"/>
    <n v="1075"/>
    <s v="$45857"/>
    <x v="316"/>
    <x v="2"/>
    <x v="908"/>
    <x v="4"/>
    <x v="903"/>
    <n v="42.65767441860465"/>
    <m/>
  </r>
  <r>
    <x v="4"/>
    <x v="1"/>
    <s v="Syrup"/>
    <s v="10 mg"/>
    <n v="30"/>
    <n v="1600"/>
    <s v="$21517"/>
    <x v="303"/>
    <x v="0"/>
    <x v="909"/>
    <x v="1"/>
    <x v="904"/>
    <n v="13.448124999999999"/>
    <m/>
  </r>
  <r>
    <x v="0"/>
    <x v="0"/>
    <s v="Injection"/>
    <s v="250 mg"/>
    <s v="10 ml"/>
    <n v="576"/>
    <s v="$40961"/>
    <x v="120"/>
    <x v="2"/>
    <x v="910"/>
    <x v="4"/>
    <x v="905"/>
    <n v="71.112847222222229"/>
    <m/>
  </r>
  <r>
    <x v="3"/>
    <x v="2"/>
    <s v="Syrup"/>
    <s v="100 mg/ml"/>
    <n v="30"/>
    <n v="1265"/>
    <s v="$32484"/>
    <x v="138"/>
    <x v="1"/>
    <x v="911"/>
    <x v="2"/>
    <x v="524"/>
    <n v="25.679051383399209"/>
    <m/>
  </r>
  <r>
    <x v="3"/>
    <x v="2"/>
    <s v="Cream"/>
    <s v="100 mg/ml"/>
    <s v="10 ml"/>
    <n v="529"/>
    <s v="$6114"/>
    <x v="282"/>
    <x v="1"/>
    <x v="912"/>
    <x v="2"/>
    <x v="906"/>
    <n v="11.557655954631381"/>
    <m/>
  </r>
  <r>
    <x v="3"/>
    <x v="2"/>
    <s v="Syrup"/>
    <s v="500 mg"/>
    <s v="100 ml"/>
    <n v="424"/>
    <s v="$36660"/>
    <x v="335"/>
    <x v="4"/>
    <x v="913"/>
    <x v="2"/>
    <x v="907"/>
    <n v="86.462264150943398"/>
    <m/>
  </r>
  <r>
    <x v="3"/>
    <x v="4"/>
    <s v="Injection"/>
    <s v="50 mg"/>
    <n v="60"/>
    <n v="1902"/>
    <s v="$4193"/>
    <x v="146"/>
    <x v="2"/>
    <x v="914"/>
    <x v="3"/>
    <x v="908"/>
    <n v="2.2045215562565721"/>
    <m/>
  </r>
  <r>
    <x v="3"/>
    <x v="0"/>
    <s v="Injection"/>
    <s v="100 mg/ml"/>
    <n v="60"/>
    <n v="1560"/>
    <s v="$33167"/>
    <x v="207"/>
    <x v="2"/>
    <x v="915"/>
    <x v="2"/>
    <x v="909"/>
    <n v="21.260897435897437"/>
    <m/>
  </r>
  <r>
    <x v="1"/>
    <x v="4"/>
    <s v="Capsule"/>
    <s v="10 mg"/>
    <n v="60"/>
    <n v="375"/>
    <s v="$13847"/>
    <x v="181"/>
    <x v="0"/>
    <x v="916"/>
    <x v="0"/>
    <x v="910"/>
    <n v="36.925333333333334"/>
    <m/>
  </r>
  <r>
    <x v="2"/>
    <x v="1"/>
    <s v="Cream"/>
    <s v="10 mg"/>
    <s v="10 ml"/>
    <n v="1663"/>
    <s v="$47873"/>
    <x v="201"/>
    <x v="4"/>
    <x v="917"/>
    <x v="0"/>
    <x v="911"/>
    <n v="28.787131689717377"/>
    <m/>
  </r>
  <r>
    <x v="4"/>
    <x v="0"/>
    <s v="Cream"/>
    <s v="100 mg/ml"/>
    <s v="100 ml"/>
    <n v="997"/>
    <s v="$34888"/>
    <x v="304"/>
    <x v="3"/>
    <x v="918"/>
    <x v="3"/>
    <x v="912"/>
    <n v="34.992978936810431"/>
    <m/>
  </r>
  <r>
    <x v="3"/>
    <x v="0"/>
    <s v="Tablet"/>
    <s v="10 mg"/>
    <n v="60"/>
    <n v="1718"/>
    <s v="$35098"/>
    <x v="273"/>
    <x v="0"/>
    <x v="919"/>
    <x v="2"/>
    <x v="913"/>
    <n v="20.429569266589056"/>
    <m/>
  </r>
  <r>
    <x v="1"/>
    <x v="3"/>
    <s v="Injection"/>
    <s v="250 mg"/>
    <s v="10 ml"/>
    <n v="324"/>
    <s v="$15547"/>
    <x v="336"/>
    <x v="0"/>
    <x v="920"/>
    <x v="4"/>
    <x v="914"/>
    <n v="47.98456790123457"/>
    <m/>
  </r>
  <r>
    <x v="3"/>
    <x v="0"/>
    <s v="Tablet"/>
    <s v="500 mg"/>
    <n v="60"/>
    <n v="1929"/>
    <s v="$15465"/>
    <x v="116"/>
    <x v="2"/>
    <x v="921"/>
    <x v="0"/>
    <x v="915"/>
    <n v="8.0171073094867804"/>
    <m/>
  </r>
  <r>
    <x v="4"/>
    <x v="4"/>
    <s v="Injection"/>
    <s v="100 mg/ml"/>
    <s v="10 ml"/>
    <n v="1206"/>
    <s v="$44930"/>
    <x v="45"/>
    <x v="1"/>
    <x v="922"/>
    <x v="3"/>
    <x v="916"/>
    <n v="37.255389718076287"/>
    <m/>
  </r>
  <r>
    <x v="4"/>
    <x v="1"/>
    <s v="Capsule"/>
    <s v="10 mg"/>
    <n v="60"/>
    <n v="1937"/>
    <s v="$16796"/>
    <x v="337"/>
    <x v="3"/>
    <x v="923"/>
    <x v="1"/>
    <x v="917"/>
    <n v="8.6711409395973149"/>
    <m/>
  </r>
  <r>
    <x v="4"/>
    <x v="4"/>
    <s v="Cream"/>
    <s v="50 mg"/>
    <s v="100 ml"/>
    <n v="1705"/>
    <s v="$9606"/>
    <x v="59"/>
    <x v="2"/>
    <x v="924"/>
    <x v="4"/>
    <x v="918"/>
    <n v="5.6340175953079177"/>
    <m/>
  </r>
  <r>
    <x v="2"/>
    <x v="1"/>
    <s v="Cream"/>
    <s v="250 mg"/>
    <s v="100 ml"/>
    <n v="938"/>
    <s v="$21278"/>
    <x v="73"/>
    <x v="0"/>
    <x v="925"/>
    <x v="2"/>
    <x v="919"/>
    <n v="22.684434968017058"/>
    <m/>
  </r>
  <r>
    <x v="0"/>
    <x v="2"/>
    <s v="Tablet"/>
    <s v="50 mg"/>
    <s v="100 ml"/>
    <n v="1566"/>
    <s v="$25494"/>
    <x v="245"/>
    <x v="0"/>
    <x v="926"/>
    <x v="3"/>
    <x v="920"/>
    <n v="16.279693486590038"/>
    <m/>
  </r>
  <r>
    <x v="4"/>
    <x v="1"/>
    <s v="Injection"/>
    <s v="50 mg"/>
    <n v="30"/>
    <n v="1644"/>
    <s v="$23908"/>
    <x v="271"/>
    <x v="0"/>
    <x v="927"/>
    <x v="4"/>
    <x v="921"/>
    <n v="14.54257907542579"/>
    <m/>
  </r>
  <r>
    <x v="0"/>
    <x v="2"/>
    <s v="Injection"/>
    <s v="10 mg"/>
    <n v="30"/>
    <n v="765"/>
    <s v="$37749"/>
    <x v="51"/>
    <x v="0"/>
    <x v="928"/>
    <x v="2"/>
    <x v="922"/>
    <n v="49.345098039215685"/>
    <m/>
  </r>
  <r>
    <x v="4"/>
    <x v="4"/>
    <s v="Syrup"/>
    <s v="100 mg/ml"/>
    <s v="50 g"/>
    <n v="946"/>
    <s v="$40826"/>
    <x v="207"/>
    <x v="0"/>
    <x v="929"/>
    <x v="0"/>
    <x v="923"/>
    <n v="43.15644820295983"/>
    <m/>
  </r>
  <r>
    <x v="4"/>
    <x v="2"/>
    <s v="Syrup"/>
    <s v="250 mg"/>
    <n v="60"/>
    <n v="399"/>
    <s v="$2187"/>
    <x v="20"/>
    <x v="2"/>
    <x v="930"/>
    <x v="0"/>
    <x v="924"/>
    <n v="5.481203007518797"/>
    <m/>
  </r>
  <r>
    <x v="3"/>
    <x v="0"/>
    <s v="Cream"/>
    <s v="250 mg"/>
    <n v="60"/>
    <n v="1193"/>
    <s v="$37828"/>
    <x v="287"/>
    <x v="1"/>
    <x v="931"/>
    <x v="2"/>
    <x v="925"/>
    <n v="31.708298407376361"/>
    <m/>
  </r>
  <r>
    <x v="4"/>
    <x v="3"/>
    <s v="Capsule"/>
    <s v="10 mg"/>
    <s v="100 ml"/>
    <n v="187"/>
    <s v="$42709"/>
    <x v="74"/>
    <x v="4"/>
    <x v="932"/>
    <x v="1"/>
    <x v="926"/>
    <n v="228.39037433155079"/>
    <m/>
  </r>
  <r>
    <x v="0"/>
    <x v="3"/>
    <s v="Syrup"/>
    <s v="10 mg"/>
    <s v="10 ml"/>
    <n v="1360"/>
    <s v="$35945"/>
    <x v="272"/>
    <x v="1"/>
    <x v="933"/>
    <x v="2"/>
    <x v="927"/>
    <n v="26.430147058823529"/>
    <m/>
  </r>
  <r>
    <x v="0"/>
    <x v="0"/>
    <s v="Injection"/>
    <s v="250 mg"/>
    <n v="60"/>
    <n v="872"/>
    <s v="$22950"/>
    <x v="81"/>
    <x v="3"/>
    <x v="934"/>
    <x v="4"/>
    <x v="928"/>
    <n v="26.318807339449542"/>
    <m/>
  </r>
  <r>
    <x v="0"/>
    <x v="1"/>
    <s v="Tablet"/>
    <s v="50 mg"/>
    <s v="100 ml"/>
    <n v="537"/>
    <s v="$44378"/>
    <x v="41"/>
    <x v="1"/>
    <x v="935"/>
    <x v="3"/>
    <x v="929"/>
    <n v="82.640595903165732"/>
    <m/>
  </r>
  <r>
    <x v="1"/>
    <x v="3"/>
    <s v="Cream"/>
    <s v="100 mg/ml"/>
    <s v="50 g"/>
    <n v="696"/>
    <s v="$49562"/>
    <x v="244"/>
    <x v="0"/>
    <x v="936"/>
    <x v="3"/>
    <x v="930"/>
    <n v="71.209770114942529"/>
    <m/>
  </r>
  <r>
    <x v="3"/>
    <x v="3"/>
    <s v="Cream"/>
    <s v="50 mg"/>
    <n v="60"/>
    <n v="357"/>
    <s v="$35849"/>
    <x v="321"/>
    <x v="4"/>
    <x v="937"/>
    <x v="3"/>
    <x v="931"/>
    <n v="100.41736694677871"/>
    <m/>
  </r>
  <r>
    <x v="0"/>
    <x v="2"/>
    <s v="Syrup"/>
    <s v="250 mg"/>
    <s v="100 ml"/>
    <n v="1179"/>
    <s v="$43406"/>
    <x v="169"/>
    <x v="1"/>
    <x v="938"/>
    <x v="1"/>
    <x v="932"/>
    <n v="36.815945716709074"/>
    <m/>
  </r>
  <r>
    <x v="0"/>
    <x v="0"/>
    <s v="Capsule"/>
    <s v="100 mg/ml"/>
    <s v="10 ml"/>
    <n v="1352"/>
    <s v="$41492"/>
    <x v="338"/>
    <x v="0"/>
    <x v="939"/>
    <x v="1"/>
    <x v="933"/>
    <n v="30.689349112426036"/>
    <m/>
  </r>
  <r>
    <x v="0"/>
    <x v="4"/>
    <s v="Tablet"/>
    <s v="250 mg"/>
    <s v="100 ml"/>
    <n v="1691"/>
    <s v="$17378"/>
    <x v="180"/>
    <x v="0"/>
    <x v="940"/>
    <x v="0"/>
    <x v="934"/>
    <n v="10.276759314015376"/>
    <m/>
  </r>
  <r>
    <x v="1"/>
    <x v="0"/>
    <s v="Capsule"/>
    <s v="50 mg"/>
    <s v="10 ml"/>
    <n v="680"/>
    <s v="$37383"/>
    <x v="231"/>
    <x v="4"/>
    <x v="941"/>
    <x v="4"/>
    <x v="935"/>
    <n v="54.975000000000001"/>
    <m/>
  </r>
  <r>
    <x v="1"/>
    <x v="3"/>
    <s v="Syrup"/>
    <s v="50 mg"/>
    <s v="50 g"/>
    <n v="971"/>
    <s v="$22075"/>
    <x v="65"/>
    <x v="3"/>
    <x v="942"/>
    <x v="2"/>
    <x v="936"/>
    <n v="22.734294541709577"/>
    <m/>
  </r>
  <r>
    <x v="1"/>
    <x v="3"/>
    <s v="Tablet"/>
    <s v="50 mg"/>
    <s v="50 g"/>
    <n v="1321"/>
    <s v="$26875"/>
    <x v="307"/>
    <x v="0"/>
    <x v="943"/>
    <x v="0"/>
    <x v="937"/>
    <n v="20.344436033308099"/>
    <m/>
  </r>
  <r>
    <x v="4"/>
    <x v="4"/>
    <s v="Capsule"/>
    <s v="500 mg"/>
    <s v="100 ml"/>
    <n v="1134"/>
    <s v="$12807"/>
    <x v="262"/>
    <x v="4"/>
    <x v="944"/>
    <x v="2"/>
    <x v="938"/>
    <n v="11.293650793650794"/>
    <m/>
  </r>
  <r>
    <x v="0"/>
    <x v="0"/>
    <s v="Injection"/>
    <s v="500 mg"/>
    <s v="100 ml"/>
    <n v="163"/>
    <s v="$36531"/>
    <x v="83"/>
    <x v="4"/>
    <x v="945"/>
    <x v="3"/>
    <x v="939"/>
    <n v="224.11656441717793"/>
    <m/>
  </r>
  <r>
    <x v="2"/>
    <x v="2"/>
    <s v="Injection"/>
    <s v="250 mg"/>
    <s v="10 ml"/>
    <n v="641"/>
    <s v="$19362"/>
    <x v="265"/>
    <x v="2"/>
    <x v="946"/>
    <x v="2"/>
    <x v="940"/>
    <n v="30.205928237129484"/>
    <m/>
  </r>
  <r>
    <x v="2"/>
    <x v="1"/>
    <s v="Injection"/>
    <s v="100 mg/ml"/>
    <s v="100 ml"/>
    <n v="1114"/>
    <s v="$46343"/>
    <x v="286"/>
    <x v="4"/>
    <x v="947"/>
    <x v="1"/>
    <x v="941"/>
    <n v="41.600538599640934"/>
    <m/>
  </r>
  <r>
    <x v="3"/>
    <x v="1"/>
    <s v="Tablet"/>
    <s v="500 mg"/>
    <s v="100 ml"/>
    <n v="1128"/>
    <s v="$25909"/>
    <x v="325"/>
    <x v="4"/>
    <x v="948"/>
    <x v="0"/>
    <x v="942"/>
    <n v="22.968971631205672"/>
    <m/>
  </r>
  <r>
    <x v="0"/>
    <x v="1"/>
    <s v="Syrup"/>
    <s v="100 mg/ml"/>
    <s v="100 ml"/>
    <n v="455"/>
    <s v="$19258"/>
    <x v="98"/>
    <x v="4"/>
    <x v="949"/>
    <x v="0"/>
    <x v="943"/>
    <n v="42.325274725274724"/>
    <m/>
  </r>
  <r>
    <x v="2"/>
    <x v="4"/>
    <s v="Capsule"/>
    <s v="50 mg"/>
    <s v="10 ml"/>
    <n v="1660"/>
    <s v="$1292"/>
    <x v="169"/>
    <x v="4"/>
    <x v="950"/>
    <x v="0"/>
    <x v="944"/>
    <n v="0.77831325301204823"/>
    <m/>
  </r>
  <r>
    <x v="2"/>
    <x v="1"/>
    <s v="Tablet"/>
    <s v="100 mg/ml"/>
    <s v="50 g"/>
    <n v="582"/>
    <s v="$6514"/>
    <x v="261"/>
    <x v="0"/>
    <x v="951"/>
    <x v="4"/>
    <x v="945"/>
    <n v="11.192439862542955"/>
    <m/>
  </r>
  <r>
    <x v="3"/>
    <x v="0"/>
    <s v="Injection"/>
    <s v="100 mg/ml"/>
    <n v="60"/>
    <n v="716"/>
    <s v="$7865"/>
    <x v="234"/>
    <x v="4"/>
    <x v="952"/>
    <x v="1"/>
    <x v="946"/>
    <n v="10.98463687150838"/>
    <m/>
  </r>
  <r>
    <x v="1"/>
    <x v="1"/>
    <s v="Syrup"/>
    <s v="500 mg"/>
    <s v="50 g"/>
    <n v="200"/>
    <s v="$15045"/>
    <x v="243"/>
    <x v="3"/>
    <x v="953"/>
    <x v="4"/>
    <x v="947"/>
    <n v="75.224999999999994"/>
    <m/>
  </r>
  <r>
    <x v="1"/>
    <x v="3"/>
    <s v="Capsule"/>
    <s v="500 mg"/>
    <n v="30"/>
    <n v="151"/>
    <s v="$13928"/>
    <x v="156"/>
    <x v="3"/>
    <x v="954"/>
    <x v="2"/>
    <x v="948"/>
    <n v="92.238410596026483"/>
    <m/>
  </r>
  <r>
    <x v="4"/>
    <x v="4"/>
    <s v="Injection"/>
    <s v="500 mg"/>
    <n v="60"/>
    <n v="1084"/>
    <s v="$10084"/>
    <x v="285"/>
    <x v="4"/>
    <x v="955"/>
    <x v="3"/>
    <x v="949"/>
    <n v="9.3025830258302591"/>
    <m/>
  </r>
  <r>
    <x v="2"/>
    <x v="2"/>
    <s v="Injection"/>
    <s v="250 mg"/>
    <n v="60"/>
    <n v="369"/>
    <s v="$27023"/>
    <x v="317"/>
    <x v="0"/>
    <x v="956"/>
    <x v="0"/>
    <x v="950"/>
    <n v="73.233062330623312"/>
    <m/>
  </r>
  <r>
    <x v="2"/>
    <x v="3"/>
    <s v="Tablet"/>
    <s v="500 mg"/>
    <n v="30"/>
    <n v="1689"/>
    <s v="$42571"/>
    <x v="339"/>
    <x v="4"/>
    <x v="957"/>
    <x v="3"/>
    <x v="951"/>
    <n v="25.204854943753702"/>
    <m/>
  </r>
  <r>
    <x v="4"/>
    <x v="4"/>
    <s v="Capsule"/>
    <s v="250 mg"/>
    <n v="30"/>
    <n v="1435"/>
    <s v="$33459"/>
    <x v="51"/>
    <x v="4"/>
    <x v="958"/>
    <x v="1"/>
    <x v="952"/>
    <n v="23.31637630662021"/>
    <m/>
  </r>
  <r>
    <x v="1"/>
    <x v="4"/>
    <s v="Injection"/>
    <s v="50 mg"/>
    <s v="50 g"/>
    <n v="433"/>
    <s v="$5852"/>
    <x v="292"/>
    <x v="2"/>
    <x v="959"/>
    <x v="4"/>
    <x v="953"/>
    <n v="13.515011547344111"/>
    <m/>
  </r>
  <r>
    <x v="3"/>
    <x v="4"/>
    <s v="Cream"/>
    <s v="500 mg"/>
    <s v="50 g"/>
    <n v="425"/>
    <s v="$30089"/>
    <x v="152"/>
    <x v="0"/>
    <x v="960"/>
    <x v="2"/>
    <x v="954"/>
    <n v="70.797647058823529"/>
    <m/>
  </r>
  <r>
    <x v="2"/>
    <x v="2"/>
    <s v="Tablet"/>
    <s v="50 mg"/>
    <n v="60"/>
    <n v="1331"/>
    <s v="$23249"/>
    <x v="116"/>
    <x v="3"/>
    <x v="961"/>
    <x v="0"/>
    <x v="955"/>
    <n v="17.467317806160782"/>
    <m/>
  </r>
  <r>
    <x v="4"/>
    <x v="3"/>
    <s v="Tablet"/>
    <s v="500 mg"/>
    <s v="50 g"/>
    <n v="700"/>
    <s v="$14747"/>
    <x v="41"/>
    <x v="2"/>
    <x v="962"/>
    <x v="3"/>
    <x v="956"/>
    <n v="21.067142857142859"/>
    <m/>
  </r>
  <r>
    <x v="3"/>
    <x v="4"/>
    <s v="Capsule"/>
    <s v="250 mg"/>
    <n v="60"/>
    <n v="1290"/>
    <s v="$26612"/>
    <x v="137"/>
    <x v="1"/>
    <x v="963"/>
    <x v="1"/>
    <x v="957"/>
    <n v="20.629457364341086"/>
    <m/>
  </r>
  <r>
    <x v="2"/>
    <x v="1"/>
    <s v="Tablet"/>
    <s v="10 mg"/>
    <n v="30"/>
    <n v="1697"/>
    <s v="$22505"/>
    <x v="80"/>
    <x v="2"/>
    <x v="964"/>
    <x v="0"/>
    <x v="958"/>
    <n v="13.26163818503241"/>
    <m/>
  </r>
  <r>
    <x v="0"/>
    <x v="3"/>
    <s v="Capsule"/>
    <s v="50 mg"/>
    <n v="60"/>
    <n v="1435"/>
    <s v="$12698"/>
    <x v="295"/>
    <x v="2"/>
    <x v="965"/>
    <x v="4"/>
    <x v="959"/>
    <n v="8.8487804878048788"/>
    <m/>
  </r>
  <r>
    <x v="2"/>
    <x v="3"/>
    <s v="Tablet"/>
    <s v="250 mg"/>
    <s v="50 g"/>
    <n v="676"/>
    <s v="$37974"/>
    <x v="192"/>
    <x v="2"/>
    <x v="966"/>
    <x v="4"/>
    <x v="960"/>
    <n v="56.174556213017752"/>
    <m/>
  </r>
  <r>
    <x v="1"/>
    <x v="2"/>
    <s v="Tablet"/>
    <s v="500 mg"/>
    <s v="10 ml"/>
    <n v="1529"/>
    <s v="$37893"/>
    <x v="340"/>
    <x v="3"/>
    <x v="967"/>
    <x v="0"/>
    <x v="961"/>
    <n v="24.782864617396992"/>
    <m/>
  </r>
  <r>
    <x v="2"/>
    <x v="2"/>
    <s v="Capsule"/>
    <s v="10 mg"/>
    <s v="10 ml"/>
    <n v="1904"/>
    <s v="$47774"/>
    <x v="173"/>
    <x v="1"/>
    <x v="968"/>
    <x v="2"/>
    <x v="962"/>
    <n v="25.091386554621849"/>
    <m/>
  </r>
  <r>
    <x v="4"/>
    <x v="3"/>
    <s v="Injection"/>
    <s v="100 mg/ml"/>
    <n v="60"/>
    <n v="274"/>
    <s v="$36990"/>
    <x v="146"/>
    <x v="3"/>
    <x v="969"/>
    <x v="4"/>
    <x v="963"/>
    <n v="135"/>
    <m/>
  </r>
  <r>
    <x v="0"/>
    <x v="4"/>
    <s v="Cream"/>
    <s v="50 mg"/>
    <s v="10 ml"/>
    <n v="974"/>
    <s v="$13263"/>
    <x v="129"/>
    <x v="2"/>
    <x v="970"/>
    <x v="0"/>
    <x v="964"/>
    <n v="13.617043121149898"/>
    <m/>
  </r>
  <r>
    <x v="2"/>
    <x v="3"/>
    <s v="Syrup"/>
    <s v="100 mg/ml"/>
    <n v="30"/>
    <n v="1169"/>
    <s v="$30037"/>
    <x v="242"/>
    <x v="2"/>
    <x v="971"/>
    <x v="3"/>
    <x v="965"/>
    <n v="25.694610778443113"/>
    <m/>
  </r>
  <r>
    <x v="2"/>
    <x v="3"/>
    <s v="Capsule"/>
    <s v="500 mg"/>
    <s v="10 ml"/>
    <n v="1922"/>
    <s v="$30322"/>
    <x v="91"/>
    <x v="2"/>
    <x v="972"/>
    <x v="4"/>
    <x v="966"/>
    <n v="15.776274713839751"/>
    <m/>
  </r>
  <r>
    <x v="0"/>
    <x v="2"/>
    <s v="Syrup"/>
    <s v="100 mg/ml"/>
    <n v="60"/>
    <n v="1656"/>
    <s v="$2052"/>
    <x v="209"/>
    <x v="3"/>
    <x v="973"/>
    <x v="1"/>
    <x v="967"/>
    <n v="1.2391304347826086"/>
    <m/>
  </r>
  <r>
    <x v="4"/>
    <x v="2"/>
    <s v="Tablet"/>
    <s v="500 mg"/>
    <n v="30"/>
    <n v="999"/>
    <s v="$1790"/>
    <x v="183"/>
    <x v="3"/>
    <x v="974"/>
    <x v="2"/>
    <x v="968"/>
    <n v="1.7917917917917918"/>
    <m/>
  </r>
  <r>
    <x v="4"/>
    <x v="3"/>
    <s v="Cream"/>
    <s v="500 mg"/>
    <s v="10 ml"/>
    <n v="1027"/>
    <s v="$5568"/>
    <x v="75"/>
    <x v="3"/>
    <x v="975"/>
    <x v="3"/>
    <x v="969"/>
    <n v="5.4216163583252195"/>
    <m/>
  </r>
  <r>
    <x v="2"/>
    <x v="4"/>
    <s v="Tablet"/>
    <s v="250 mg"/>
    <s v="100 ml"/>
    <n v="202"/>
    <s v="$35739"/>
    <x v="341"/>
    <x v="2"/>
    <x v="976"/>
    <x v="4"/>
    <x v="970"/>
    <n v="176.92574257425741"/>
    <m/>
  </r>
  <r>
    <x v="2"/>
    <x v="3"/>
    <s v="Capsule"/>
    <s v="100 mg/ml"/>
    <s v="100 ml"/>
    <n v="868"/>
    <s v="$39318"/>
    <x v="103"/>
    <x v="4"/>
    <x v="977"/>
    <x v="4"/>
    <x v="971"/>
    <n v="45.297235023041473"/>
    <m/>
  </r>
  <r>
    <x v="2"/>
    <x v="4"/>
    <s v="Cream"/>
    <s v="100 mg/ml"/>
    <n v="30"/>
    <n v="783"/>
    <s v="$7230"/>
    <x v="276"/>
    <x v="4"/>
    <x v="978"/>
    <x v="2"/>
    <x v="972"/>
    <n v="9.2337164750957861"/>
    <m/>
  </r>
  <r>
    <x v="3"/>
    <x v="3"/>
    <s v="Tablet"/>
    <s v="100 mg/ml"/>
    <n v="60"/>
    <n v="624"/>
    <s v="$39173"/>
    <x v="124"/>
    <x v="3"/>
    <x v="979"/>
    <x v="2"/>
    <x v="973"/>
    <n v="62.777243589743591"/>
    <m/>
  </r>
  <r>
    <x v="3"/>
    <x v="4"/>
    <s v="Tablet"/>
    <s v="50 mg"/>
    <n v="30"/>
    <n v="144"/>
    <s v="$31678"/>
    <x v="54"/>
    <x v="0"/>
    <x v="980"/>
    <x v="3"/>
    <x v="974"/>
    <n v="219.98611111111111"/>
    <m/>
  </r>
  <r>
    <x v="0"/>
    <x v="1"/>
    <s v="Injection"/>
    <s v="50 mg"/>
    <s v="10 ml"/>
    <n v="1705"/>
    <s v="$3950"/>
    <x v="54"/>
    <x v="4"/>
    <x v="981"/>
    <x v="2"/>
    <x v="975"/>
    <n v="2.3167155425219943"/>
    <m/>
  </r>
  <r>
    <x v="3"/>
    <x v="3"/>
    <s v="Injection"/>
    <s v="50 mg"/>
    <s v="100 ml"/>
    <n v="1435"/>
    <s v="$11503"/>
    <x v="36"/>
    <x v="4"/>
    <x v="982"/>
    <x v="2"/>
    <x v="976"/>
    <n v="8.0160278745644593"/>
    <m/>
  </r>
  <r>
    <x v="4"/>
    <x v="3"/>
    <s v="Tablet"/>
    <s v="50 mg"/>
    <s v="50 g"/>
    <n v="1882"/>
    <s v="$23935"/>
    <x v="283"/>
    <x v="4"/>
    <x v="983"/>
    <x v="0"/>
    <x v="977"/>
    <n v="12.717853347502658"/>
    <m/>
  </r>
  <r>
    <x v="2"/>
    <x v="0"/>
    <s v="Injection"/>
    <s v="100 mg/ml"/>
    <s v="100 ml"/>
    <n v="1018"/>
    <s v="$42507"/>
    <x v="14"/>
    <x v="3"/>
    <x v="984"/>
    <x v="1"/>
    <x v="978"/>
    <n v="41.755402750491157"/>
    <m/>
  </r>
  <r>
    <x v="1"/>
    <x v="2"/>
    <s v="Capsule"/>
    <s v="500 mg"/>
    <s v="100 ml"/>
    <n v="1895"/>
    <s v="$40085"/>
    <x v="289"/>
    <x v="4"/>
    <x v="985"/>
    <x v="1"/>
    <x v="979"/>
    <n v="21.153034300791557"/>
    <m/>
  </r>
  <r>
    <x v="2"/>
    <x v="1"/>
    <s v="Cream"/>
    <s v="250 mg"/>
    <s v="50 g"/>
    <n v="634"/>
    <s v="$27518"/>
    <x v="125"/>
    <x v="0"/>
    <x v="986"/>
    <x v="2"/>
    <x v="980"/>
    <n v="43.403785488958988"/>
    <m/>
  </r>
  <r>
    <x v="0"/>
    <x v="4"/>
    <s v="Capsule"/>
    <s v="100 mg/ml"/>
    <s v="50 g"/>
    <n v="598"/>
    <s v="$44610"/>
    <x v="240"/>
    <x v="4"/>
    <x v="987"/>
    <x v="4"/>
    <x v="981"/>
    <n v="74.598662207357862"/>
    <m/>
  </r>
  <r>
    <x v="3"/>
    <x v="3"/>
    <s v="Injection"/>
    <s v="50 mg"/>
    <n v="60"/>
    <n v="1619"/>
    <s v="$35793"/>
    <x v="3"/>
    <x v="4"/>
    <x v="988"/>
    <x v="3"/>
    <x v="982"/>
    <n v="22.108091414453366"/>
    <m/>
  </r>
  <r>
    <x v="0"/>
    <x v="1"/>
    <s v="Syrup"/>
    <s v="100 mg/ml"/>
    <s v="100 ml"/>
    <n v="359"/>
    <s v="$36979"/>
    <x v="99"/>
    <x v="4"/>
    <x v="989"/>
    <x v="0"/>
    <x v="983"/>
    <n v="103.00557103064067"/>
    <m/>
  </r>
  <r>
    <x v="1"/>
    <x v="3"/>
    <s v="Cream"/>
    <s v="50 mg"/>
    <s v="100 ml"/>
    <n v="1502"/>
    <s v="$12221"/>
    <x v="236"/>
    <x v="3"/>
    <x v="990"/>
    <x v="0"/>
    <x v="984"/>
    <n v="8.1364846870838878"/>
    <m/>
  </r>
  <r>
    <x v="2"/>
    <x v="0"/>
    <s v="Tablet"/>
    <s v="250 mg"/>
    <n v="30"/>
    <n v="1552"/>
    <s v="$11238"/>
    <x v="143"/>
    <x v="2"/>
    <x v="991"/>
    <x v="3"/>
    <x v="985"/>
    <n v="7.2409793814432986"/>
    <m/>
  </r>
  <r>
    <x v="2"/>
    <x v="0"/>
    <s v="Capsule"/>
    <s v="50 mg"/>
    <s v="10 ml"/>
    <n v="1152"/>
    <s v="$39119"/>
    <x v="143"/>
    <x v="4"/>
    <x v="992"/>
    <x v="0"/>
    <x v="986"/>
    <n v="33.957465277777779"/>
    <m/>
  </r>
  <r>
    <x v="3"/>
    <x v="1"/>
    <s v="Syrup"/>
    <s v="100 mg/ml"/>
    <n v="60"/>
    <n v="996"/>
    <s v="$46219"/>
    <x v="257"/>
    <x v="1"/>
    <x v="993"/>
    <x v="2"/>
    <x v="734"/>
    <n v="46.40461847389558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1196FD-9914-4269-A67F-C173A6AF2A7D}"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52:C53" firstHeaderRow="1" firstDataRow="1" firstDataCol="0"/>
  <pivotFields count="17">
    <pivotField showAll="0"/>
    <pivotField showAll="0"/>
    <pivotField showAll="0"/>
    <pivotField showAll="0"/>
    <pivotField showAll="0"/>
    <pivotField dataField="1" numFmtId="166" showAll="0"/>
    <pivotField showAll="0"/>
    <pivotField numFmtId="14" showAll="0">
      <items count="343">
        <item x="73"/>
        <item x="171"/>
        <item x="315"/>
        <item x="240"/>
        <item x="264"/>
        <item x="218"/>
        <item x="137"/>
        <item x="118"/>
        <item x="257"/>
        <item x="276"/>
        <item x="1"/>
        <item x="170"/>
        <item x="127"/>
        <item x="328"/>
        <item x="117"/>
        <item x="4"/>
        <item x="326"/>
        <item x="203"/>
        <item x="233"/>
        <item x="311"/>
        <item x="136"/>
        <item x="11"/>
        <item x="277"/>
        <item x="47"/>
        <item x="15"/>
        <item x="325"/>
        <item x="265"/>
        <item x="246"/>
        <item x="133"/>
        <item x="84"/>
        <item x="163"/>
        <item x="245"/>
        <item x="131"/>
        <item x="125"/>
        <item x="314"/>
        <item x="339"/>
        <item x="22"/>
        <item x="305"/>
        <item x="38"/>
        <item x="330"/>
        <item x="272"/>
        <item x="186"/>
        <item x="160"/>
        <item x="181"/>
        <item x="39"/>
        <item x="215"/>
        <item x="55"/>
        <item x="111"/>
        <item x="86"/>
        <item x="268"/>
        <item x="280"/>
        <item x="327"/>
        <item x="41"/>
        <item x="231"/>
        <item x="71"/>
        <item x="148"/>
        <item x="291"/>
        <item x="140"/>
        <item x="262"/>
        <item x="220"/>
        <item x="53"/>
        <item x="154"/>
        <item x="165"/>
        <item x="37"/>
        <item x="224"/>
        <item x="212"/>
        <item x="153"/>
        <item x="90"/>
        <item x="87"/>
        <item x="267"/>
        <item x="112"/>
        <item x="134"/>
        <item x="255"/>
        <item x="29"/>
        <item x="234"/>
        <item x="235"/>
        <item x="260"/>
        <item x="283"/>
        <item x="199"/>
        <item x="93"/>
        <item x="289"/>
        <item x="109"/>
        <item x="104"/>
        <item x="205"/>
        <item x="91"/>
        <item x="157"/>
        <item x="196"/>
        <item x="285"/>
        <item x="172"/>
        <item x="222"/>
        <item x="40"/>
        <item x="274"/>
        <item x="132"/>
        <item x="114"/>
        <item x="82"/>
        <item x="241"/>
        <item x="174"/>
        <item x="43"/>
        <item x="10"/>
        <item x="273"/>
        <item x="155"/>
        <item x="184"/>
        <item x="49"/>
        <item x="51"/>
        <item x="7"/>
        <item x="335"/>
        <item x="250"/>
        <item x="65"/>
        <item x="292"/>
        <item x="60"/>
        <item x="239"/>
        <item x="164"/>
        <item x="142"/>
        <item x="236"/>
        <item x="177"/>
        <item x="76"/>
        <item x="202"/>
        <item x="70"/>
        <item x="59"/>
        <item x="147"/>
        <item x="101"/>
        <item x="13"/>
        <item x="25"/>
        <item x="5"/>
        <item x="99"/>
        <item x="50"/>
        <item x="217"/>
        <item x="26"/>
        <item x="294"/>
        <item x="138"/>
        <item x="119"/>
        <item x="80"/>
        <item x="167"/>
        <item x="194"/>
        <item x="256"/>
        <item x="120"/>
        <item x="275"/>
        <item x="270"/>
        <item x="211"/>
        <item x="62"/>
        <item x="98"/>
        <item x="169"/>
        <item x="271"/>
        <item x="46"/>
        <item x="178"/>
        <item x="287"/>
        <item x="6"/>
        <item x="251"/>
        <item x="57"/>
        <item x="228"/>
        <item x="331"/>
        <item x="33"/>
        <item x="207"/>
        <item x="162"/>
        <item x="34"/>
        <item x="19"/>
        <item x="110"/>
        <item x="139"/>
        <item x="159"/>
        <item x="17"/>
        <item x="115"/>
        <item x="237"/>
        <item x="156"/>
        <item x="333"/>
        <item x="168"/>
        <item x="337"/>
        <item x="185"/>
        <item x="179"/>
        <item x="24"/>
        <item x="298"/>
        <item x="18"/>
        <item x="253"/>
        <item x="189"/>
        <item x="295"/>
        <item x="36"/>
        <item x="149"/>
        <item x="95"/>
        <item x="204"/>
        <item x="54"/>
        <item x="45"/>
        <item x="323"/>
        <item x="102"/>
        <item x="0"/>
        <item x="58"/>
        <item x="190"/>
        <item x="66"/>
        <item x="81"/>
        <item x="309"/>
        <item x="336"/>
        <item x="195"/>
        <item x="332"/>
        <item x="223"/>
        <item x="146"/>
        <item x="244"/>
        <item x="77"/>
        <item x="106"/>
        <item x="221"/>
        <item x="324"/>
        <item x="152"/>
        <item x="308"/>
        <item x="16"/>
        <item x="182"/>
        <item x="286"/>
        <item x="216"/>
        <item x="319"/>
        <item x="108"/>
        <item x="316"/>
        <item x="103"/>
        <item x="144"/>
        <item x="175"/>
        <item x="30"/>
        <item x="302"/>
        <item x="113"/>
        <item x="105"/>
        <item x="247"/>
        <item x="192"/>
        <item x="123"/>
        <item x="20"/>
        <item x="88"/>
        <item x="75"/>
        <item x="329"/>
        <item x="341"/>
        <item x="23"/>
        <item x="259"/>
        <item x="338"/>
        <item x="299"/>
        <item x="227"/>
        <item x="122"/>
        <item x="61"/>
        <item x="124"/>
        <item x="56"/>
        <item x="288"/>
        <item x="301"/>
        <item x="191"/>
        <item x="208"/>
        <item x="130"/>
        <item x="278"/>
        <item x="225"/>
        <item x="74"/>
        <item x="126"/>
        <item x="197"/>
        <item x="42"/>
        <item x="281"/>
        <item x="210"/>
        <item x="296"/>
        <item x="201"/>
        <item x="83"/>
        <item x="32"/>
        <item x="188"/>
        <item x="242"/>
        <item x="128"/>
        <item x="249"/>
        <item x="161"/>
        <item x="219"/>
        <item x="63"/>
        <item x="304"/>
        <item x="312"/>
        <item x="143"/>
        <item x="226"/>
        <item x="307"/>
        <item x="135"/>
        <item x="322"/>
        <item x="252"/>
        <item x="166"/>
        <item x="254"/>
        <item x="293"/>
        <item x="28"/>
        <item x="321"/>
        <item x="150"/>
        <item x="141"/>
        <item x="72"/>
        <item x="145"/>
        <item x="193"/>
        <item x="158"/>
        <item x="107"/>
        <item x="121"/>
        <item x="290"/>
        <item x="313"/>
        <item x="9"/>
        <item x="92"/>
        <item x="44"/>
        <item x="269"/>
        <item x="8"/>
        <item x="320"/>
        <item x="21"/>
        <item x="340"/>
        <item x="180"/>
        <item x="238"/>
        <item x="306"/>
        <item x="248"/>
        <item x="310"/>
        <item x="279"/>
        <item x="206"/>
        <item x="297"/>
        <item x="261"/>
        <item x="258"/>
        <item x="232"/>
        <item x="78"/>
        <item x="85"/>
        <item x="183"/>
        <item x="266"/>
        <item x="173"/>
        <item x="69"/>
        <item x="2"/>
        <item x="35"/>
        <item x="68"/>
        <item x="243"/>
        <item x="318"/>
        <item x="303"/>
        <item x="198"/>
        <item x="151"/>
        <item x="176"/>
        <item x="213"/>
        <item x="31"/>
        <item x="284"/>
        <item x="230"/>
        <item x="282"/>
        <item x="97"/>
        <item x="67"/>
        <item x="200"/>
        <item x="317"/>
        <item x="300"/>
        <item x="12"/>
        <item x="64"/>
        <item x="214"/>
        <item x="187"/>
        <item x="129"/>
        <item x="14"/>
        <item x="3"/>
        <item x="263"/>
        <item x="52"/>
        <item x="116"/>
        <item x="209"/>
        <item x="89"/>
        <item x="334"/>
        <item x="27"/>
        <item x="94"/>
        <item x="229"/>
        <item x="48"/>
        <item x="96"/>
        <item x="79"/>
        <item x="100"/>
        <item t="default"/>
      </items>
    </pivotField>
    <pivotField showAll="0"/>
    <pivotField showAll="0"/>
    <pivotField showAll="0"/>
    <pivotField numFmtId="165" showAll="0"/>
    <pivotField numFmtId="165"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Units Sold" fld="5"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C106B4-694C-42FE-96AE-F319E9643C3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39:C40" firstHeaderRow="1" firstDataRow="1" firstDataCol="0"/>
  <pivotFields count="17">
    <pivotField showAll="0"/>
    <pivotField showAll="0"/>
    <pivotField showAll="0"/>
    <pivotField showAll="0"/>
    <pivotField showAll="0"/>
    <pivotField numFmtId="166" showAll="0"/>
    <pivotField showAll="0"/>
    <pivotField numFmtId="14" showAll="0">
      <items count="343">
        <item x="73"/>
        <item x="171"/>
        <item x="315"/>
        <item x="240"/>
        <item x="264"/>
        <item x="218"/>
        <item x="137"/>
        <item x="118"/>
        <item x="257"/>
        <item x="276"/>
        <item x="1"/>
        <item x="170"/>
        <item x="127"/>
        <item x="328"/>
        <item x="117"/>
        <item x="4"/>
        <item x="326"/>
        <item x="203"/>
        <item x="233"/>
        <item x="311"/>
        <item x="136"/>
        <item x="11"/>
        <item x="277"/>
        <item x="47"/>
        <item x="15"/>
        <item x="325"/>
        <item x="265"/>
        <item x="246"/>
        <item x="133"/>
        <item x="84"/>
        <item x="163"/>
        <item x="245"/>
        <item x="131"/>
        <item x="125"/>
        <item x="314"/>
        <item x="339"/>
        <item x="22"/>
        <item x="305"/>
        <item x="38"/>
        <item x="330"/>
        <item x="272"/>
        <item x="186"/>
        <item x="160"/>
        <item x="181"/>
        <item x="39"/>
        <item x="215"/>
        <item x="55"/>
        <item x="111"/>
        <item x="86"/>
        <item x="268"/>
        <item x="280"/>
        <item x="327"/>
        <item x="41"/>
        <item x="231"/>
        <item x="71"/>
        <item x="148"/>
        <item x="291"/>
        <item x="140"/>
        <item x="262"/>
        <item x="220"/>
        <item x="53"/>
        <item x="154"/>
        <item x="165"/>
        <item x="37"/>
        <item x="224"/>
        <item x="212"/>
        <item x="153"/>
        <item x="90"/>
        <item x="87"/>
        <item x="267"/>
        <item x="112"/>
        <item x="134"/>
        <item x="255"/>
        <item x="29"/>
        <item x="234"/>
        <item x="235"/>
        <item x="260"/>
        <item x="283"/>
        <item x="199"/>
        <item x="93"/>
        <item x="289"/>
        <item x="109"/>
        <item x="104"/>
        <item x="205"/>
        <item x="91"/>
        <item x="157"/>
        <item x="196"/>
        <item x="285"/>
        <item x="172"/>
        <item x="222"/>
        <item x="40"/>
        <item x="274"/>
        <item x="132"/>
        <item x="114"/>
        <item x="82"/>
        <item x="241"/>
        <item x="174"/>
        <item x="43"/>
        <item x="10"/>
        <item x="273"/>
        <item x="155"/>
        <item x="184"/>
        <item x="49"/>
        <item x="51"/>
        <item x="7"/>
        <item x="335"/>
        <item x="250"/>
        <item x="65"/>
        <item x="292"/>
        <item x="60"/>
        <item x="239"/>
        <item x="164"/>
        <item x="142"/>
        <item x="236"/>
        <item x="177"/>
        <item x="76"/>
        <item x="202"/>
        <item x="70"/>
        <item x="59"/>
        <item x="147"/>
        <item x="101"/>
        <item x="13"/>
        <item x="25"/>
        <item x="5"/>
        <item x="99"/>
        <item x="50"/>
        <item x="217"/>
        <item x="26"/>
        <item x="294"/>
        <item x="138"/>
        <item x="119"/>
        <item x="80"/>
        <item x="167"/>
        <item x="194"/>
        <item x="256"/>
        <item x="120"/>
        <item x="275"/>
        <item x="270"/>
        <item x="211"/>
        <item x="62"/>
        <item x="98"/>
        <item x="169"/>
        <item x="271"/>
        <item x="46"/>
        <item x="178"/>
        <item x="287"/>
        <item x="6"/>
        <item x="251"/>
        <item x="57"/>
        <item x="228"/>
        <item x="331"/>
        <item x="33"/>
        <item x="207"/>
        <item x="162"/>
        <item x="34"/>
        <item x="19"/>
        <item x="110"/>
        <item x="139"/>
        <item x="159"/>
        <item x="17"/>
        <item x="115"/>
        <item x="237"/>
        <item x="156"/>
        <item x="333"/>
        <item x="168"/>
        <item x="337"/>
        <item x="185"/>
        <item x="179"/>
        <item x="24"/>
        <item x="298"/>
        <item x="18"/>
        <item x="253"/>
        <item x="189"/>
        <item x="295"/>
        <item x="36"/>
        <item x="149"/>
        <item x="95"/>
        <item x="204"/>
        <item x="54"/>
        <item x="45"/>
        <item x="323"/>
        <item x="102"/>
        <item x="0"/>
        <item x="58"/>
        <item x="190"/>
        <item x="66"/>
        <item x="81"/>
        <item x="309"/>
        <item x="336"/>
        <item x="195"/>
        <item x="332"/>
        <item x="223"/>
        <item x="146"/>
        <item x="244"/>
        <item x="77"/>
        <item x="106"/>
        <item x="221"/>
        <item x="324"/>
        <item x="152"/>
        <item x="308"/>
        <item x="16"/>
        <item x="182"/>
        <item x="286"/>
        <item x="216"/>
        <item x="319"/>
        <item x="108"/>
        <item x="316"/>
        <item x="103"/>
        <item x="144"/>
        <item x="175"/>
        <item x="30"/>
        <item x="302"/>
        <item x="113"/>
        <item x="105"/>
        <item x="247"/>
        <item x="192"/>
        <item x="123"/>
        <item x="20"/>
        <item x="88"/>
        <item x="75"/>
        <item x="329"/>
        <item x="341"/>
        <item x="23"/>
        <item x="259"/>
        <item x="338"/>
        <item x="299"/>
        <item x="227"/>
        <item x="122"/>
        <item x="61"/>
        <item x="124"/>
        <item x="56"/>
        <item x="288"/>
        <item x="301"/>
        <item x="191"/>
        <item x="208"/>
        <item x="130"/>
        <item x="278"/>
        <item x="225"/>
        <item x="74"/>
        <item x="126"/>
        <item x="197"/>
        <item x="42"/>
        <item x="281"/>
        <item x="210"/>
        <item x="296"/>
        <item x="201"/>
        <item x="83"/>
        <item x="32"/>
        <item x="188"/>
        <item x="242"/>
        <item x="128"/>
        <item x="249"/>
        <item x="161"/>
        <item x="219"/>
        <item x="63"/>
        <item x="304"/>
        <item x="312"/>
        <item x="143"/>
        <item x="226"/>
        <item x="307"/>
        <item x="135"/>
        <item x="322"/>
        <item x="252"/>
        <item x="166"/>
        <item x="254"/>
        <item x="293"/>
        <item x="28"/>
        <item x="321"/>
        <item x="150"/>
        <item x="141"/>
        <item x="72"/>
        <item x="145"/>
        <item x="193"/>
        <item x="158"/>
        <item x="107"/>
        <item x="121"/>
        <item x="290"/>
        <item x="313"/>
        <item x="9"/>
        <item x="92"/>
        <item x="44"/>
        <item x="269"/>
        <item x="8"/>
        <item x="320"/>
        <item x="21"/>
        <item x="340"/>
        <item x="180"/>
        <item x="238"/>
        <item x="306"/>
        <item x="248"/>
        <item x="310"/>
        <item x="279"/>
        <item x="206"/>
        <item x="297"/>
        <item x="261"/>
        <item x="258"/>
        <item x="232"/>
        <item x="78"/>
        <item x="85"/>
        <item x="183"/>
        <item x="266"/>
        <item x="173"/>
        <item x="69"/>
        <item x="2"/>
        <item x="35"/>
        <item x="68"/>
        <item x="243"/>
        <item x="318"/>
        <item x="303"/>
        <item x="198"/>
        <item x="151"/>
        <item x="176"/>
        <item x="213"/>
        <item x="31"/>
        <item x="284"/>
        <item x="230"/>
        <item x="282"/>
        <item x="97"/>
        <item x="67"/>
        <item x="200"/>
        <item x="317"/>
        <item x="300"/>
        <item x="12"/>
        <item x="64"/>
        <item x="214"/>
        <item x="187"/>
        <item x="129"/>
        <item x="14"/>
        <item x="3"/>
        <item x="263"/>
        <item x="52"/>
        <item x="116"/>
        <item x="209"/>
        <item x="89"/>
        <item x="334"/>
        <item x="27"/>
        <item x="94"/>
        <item x="229"/>
        <item x="48"/>
        <item x="96"/>
        <item x="79"/>
        <item x="100"/>
        <item t="default"/>
      </items>
    </pivotField>
    <pivotField showAll="0"/>
    <pivotField showAll="0"/>
    <pivotField showAll="0"/>
    <pivotField dataField="1" numFmtId="165" showAll="0"/>
    <pivotField numFmtId="165"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Revenue in numbers" fld="11" baseField="0" baseItem="0" numFmtId="165"/>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1DE5A8-6B89-4192-9947-74AD85EDC0F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4:J10" firstHeaderRow="1" firstDataRow="1" firstDataCol="1"/>
  <pivotFields count="17">
    <pivotField showAll="0"/>
    <pivotField showAll="0"/>
    <pivotField showAll="0"/>
    <pivotField showAll="0"/>
    <pivotField showAll="0"/>
    <pivotField numFmtId="166" showAll="0"/>
    <pivotField showAll="0"/>
    <pivotField numFmtId="14" showAll="0">
      <items count="343">
        <item x="73"/>
        <item x="171"/>
        <item x="315"/>
        <item x="240"/>
        <item x="264"/>
        <item x="218"/>
        <item x="137"/>
        <item x="118"/>
        <item x="257"/>
        <item x="276"/>
        <item x="1"/>
        <item x="170"/>
        <item x="127"/>
        <item x="328"/>
        <item x="117"/>
        <item x="4"/>
        <item x="326"/>
        <item x="203"/>
        <item x="233"/>
        <item x="311"/>
        <item x="136"/>
        <item x="11"/>
        <item x="277"/>
        <item x="47"/>
        <item x="15"/>
        <item x="325"/>
        <item x="265"/>
        <item x="246"/>
        <item x="133"/>
        <item x="84"/>
        <item x="163"/>
        <item x="245"/>
        <item x="131"/>
        <item x="125"/>
        <item x="314"/>
        <item x="339"/>
        <item x="22"/>
        <item x="305"/>
        <item x="38"/>
        <item x="330"/>
        <item x="272"/>
        <item x="186"/>
        <item x="160"/>
        <item x="181"/>
        <item x="39"/>
        <item x="215"/>
        <item x="55"/>
        <item x="111"/>
        <item x="86"/>
        <item x="268"/>
        <item x="280"/>
        <item x="327"/>
        <item x="41"/>
        <item x="231"/>
        <item x="71"/>
        <item x="148"/>
        <item x="291"/>
        <item x="140"/>
        <item x="262"/>
        <item x="220"/>
        <item x="53"/>
        <item x="154"/>
        <item x="165"/>
        <item x="37"/>
        <item x="224"/>
        <item x="212"/>
        <item x="153"/>
        <item x="90"/>
        <item x="87"/>
        <item x="267"/>
        <item x="112"/>
        <item x="134"/>
        <item x="255"/>
        <item x="29"/>
        <item x="234"/>
        <item x="235"/>
        <item x="260"/>
        <item x="283"/>
        <item x="199"/>
        <item x="93"/>
        <item x="289"/>
        <item x="109"/>
        <item x="104"/>
        <item x="205"/>
        <item x="91"/>
        <item x="157"/>
        <item x="196"/>
        <item x="285"/>
        <item x="172"/>
        <item x="222"/>
        <item x="40"/>
        <item x="274"/>
        <item x="132"/>
        <item x="114"/>
        <item x="82"/>
        <item x="241"/>
        <item x="174"/>
        <item x="43"/>
        <item x="10"/>
        <item x="273"/>
        <item x="155"/>
        <item x="184"/>
        <item x="49"/>
        <item x="51"/>
        <item x="7"/>
        <item x="335"/>
        <item x="250"/>
        <item x="65"/>
        <item x="292"/>
        <item x="60"/>
        <item x="239"/>
        <item x="164"/>
        <item x="142"/>
        <item x="236"/>
        <item x="177"/>
        <item x="76"/>
        <item x="202"/>
        <item x="70"/>
        <item x="59"/>
        <item x="147"/>
        <item x="101"/>
        <item x="13"/>
        <item x="25"/>
        <item x="5"/>
        <item x="99"/>
        <item x="50"/>
        <item x="217"/>
        <item x="26"/>
        <item x="294"/>
        <item x="138"/>
        <item x="119"/>
        <item x="80"/>
        <item x="167"/>
        <item x="194"/>
        <item x="256"/>
        <item x="120"/>
        <item x="275"/>
        <item x="270"/>
        <item x="211"/>
        <item x="62"/>
        <item x="98"/>
        <item x="169"/>
        <item x="271"/>
        <item x="46"/>
        <item x="178"/>
        <item x="287"/>
        <item x="6"/>
        <item x="251"/>
        <item x="57"/>
        <item x="228"/>
        <item x="331"/>
        <item x="33"/>
        <item x="207"/>
        <item x="162"/>
        <item x="34"/>
        <item x="19"/>
        <item x="110"/>
        <item x="139"/>
        <item x="159"/>
        <item x="17"/>
        <item x="115"/>
        <item x="237"/>
        <item x="156"/>
        <item x="333"/>
        <item x="168"/>
        <item x="337"/>
        <item x="185"/>
        <item x="179"/>
        <item x="24"/>
        <item x="298"/>
        <item x="18"/>
        <item x="253"/>
        <item x="189"/>
        <item x="295"/>
        <item x="36"/>
        <item x="149"/>
        <item x="95"/>
        <item x="204"/>
        <item x="54"/>
        <item x="45"/>
        <item x="323"/>
        <item x="102"/>
        <item x="0"/>
        <item x="58"/>
        <item x="190"/>
        <item x="66"/>
        <item x="81"/>
        <item x="309"/>
        <item x="336"/>
        <item x="195"/>
        <item x="332"/>
        <item x="223"/>
        <item x="146"/>
        <item x="244"/>
        <item x="77"/>
        <item x="106"/>
        <item x="221"/>
        <item x="324"/>
        <item x="152"/>
        <item x="308"/>
        <item x="16"/>
        <item x="182"/>
        <item x="286"/>
        <item x="216"/>
        <item x="319"/>
        <item x="108"/>
        <item x="316"/>
        <item x="103"/>
        <item x="144"/>
        <item x="175"/>
        <item x="30"/>
        <item x="302"/>
        <item x="113"/>
        <item x="105"/>
        <item x="247"/>
        <item x="192"/>
        <item x="123"/>
        <item x="20"/>
        <item x="88"/>
        <item x="75"/>
        <item x="329"/>
        <item x="341"/>
        <item x="23"/>
        <item x="259"/>
        <item x="338"/>
        <item x="299"/>
        <item x="227"/>
        <item x="122"/>
        <item x="61"/>
        <item x="124"/>
        <item x="56"/>
        <item x="288"/>
        <item x="301"/>
        <item x="191"/>
        <item x="208"/>
        <item x="130"/>
        <item x="278"/>
        <item x="225"/>
        <item x="74"/>
        <item x="126"/>
        <item x="197"/>
        <item x="42"/>
        <item x="281"/>
        <item x="210"/>
        <item x="296"/>
        <item x="201"/>
        <item x="83"/>
        <item x="32"/>
        <item x="188"/>
        <item x="242"/>
        <item x="128"/>
        <item x="249"/>
        <item x="161"/>
        <item x="219"/>
        <item x="63"/>
        <item x="304"/>
        <item x="312"/>
        <item x="143"/>
        <item x="226"/>
        <item x="307"/>
        <item x="135"/>
        <item x="322"/>
        <item x="252"/>
        <item x="166"/>
        <item x="254"/>
        <item x="293"/>
        <item x="28"/>
        <item x="321"/>
        <item x="150"/>
        <item x="141"/>
        <item x="72"/>
        <item x="145"/>
        <item x="193"/>
        <item x="158"/>
        <item x="107"/>
        <item x="121"/>
        <item x="290"/>
        <item x="313"/>
        <item x="9"/>
        <item x="92"/>
        <item x="44"/>
        <item x="269"/>
        <item x="8"/>
        <item x="320"/>
        <item x="21"/>
        <item x="340"/>
        <item x="180"/>
        <item x="238"/>
        <item x="306"/>
        <item x="248"/>
        <item x="310"/>
        <item x="279"/>
        <item x="206"/>
        <item x="297"/>
        <item x="261"/>
        <item x="258"/>
        <item x="232"/>
        <item x="78"/>
        <item x="85"/>
        <item x="183"/>
        <item x="266"/>
        <item x="173"/>
        <item x="69"/>
        <item x="2"/>
        <item x="35"/>
        <item x="68"/>
        <item x="243"/>
        <item x="318"/>
        <item x="303"/>
        <item x="198"/>
        <item x="151"/>
        <item x="176"/>
        <item x="213"/>
        <item x="31"/>
        <item x="284"/>
        <item x="230"/>
        <item x="282"/>
        <item x="97"/>
        <item x="67"/>
        <item x="200"/>
        <item x="317"/>
        <item x="300"/>
        <item x="12"/>
        <item x="64"/>
        <item x="214"/>
        <item x="187"/>
        <item x="129"/>
        <item x="14"/>
        <item x="3"/>
        <item x="263"/>
        <item x="52"/>
        <item x="116"/>
        <item x="209"/>
        <item x="89"/>
        <item x="334"/>
        <item x="27"/>
        <item x="94"/>
        <item x="229"/>
        <item x="48"/>
        <item x="96"/>
        <item x="79"/>
        <item x="100"/>
        <item t="default"/>
      </items>
    </pivotField>
    <pivotField showAll="0"/>
    <pivotField showAll="0"/>
    <pivotField axis="axisRow" showAll="0">
      <items count="6">
        <item x="0"/>
        <item x="1"/>
        <item x="3"/>
        <item x="2"/>
        <item x="4"/>
        <item t="default"/>
      </items>
    </pivotField>
    <pivotField dataField="1" numFmtId="165" showAll="0"/>
    <pivotField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6">
    <i>
      <x/>
    </i>
    <i>
      <x v="1"/>
    </i>
    <i>
      <x v="2"/>
    </i>
    <i>
      <x v="3"/>
    </i>
    <i>
      <x v="4"/>
    </i>
    <i t="grand">
      <x/>
    </i>
  </rowItems>
  <colItems count="1">
    <i/>
  </colItems>
  <dataFields count="1">
    <dataField name="Sum of Revenue in numbers" fld="11" baseField="0" baseItem="0" numFmtId="165"/>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66D114-7B5F-43AA-92DD-2CE546D75D90}"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13:J19" firstHeaderRow="1" firstDataRow="1" firstDataCol="1"/>
  <pivotFields count="17">
    <pivotField dataField="1" showAll="0"/>
    <pivotField axis="axisRow" showAll="0">
      <items count="6">
        <item x="2"/>
        <item x="0"/>
        <item x="1"/>
        <item x="3"/>
        <item x="4"/>
        <item t="default"/>
      </items>
    </pivotField>
    <pivotField showAll="0"/>
    <pivotField showAll="0"/>
    <pivotField showAll="0"/>
    <pivotField numFmtId="166" showAll="0"/>
    <pivotField showAll="0"/>
    <pivotField numFmtId="14" showAll="0">
      <items count="343">
        <item x="73"/>
        <item x="171"/>
        <item x="315"/>
        <item x="240"/>
        <item x="264"/>
        <item x="218"/>
        <item x="137"/>
        <item x="118"/>
        <item x="257"/>
        <item x="276"/>
        <item x="1"/>
        <item x="170"/>
        <item x="127"/>
        <item x="328"/>
        <item x="117"/>
        <item x="4"/>
        <item x="326"/>
        <item x="203"/>
        <item x="233"/>
        <item x="311"/>
        <item x="136"/>
        <item x="11"/>
        <item x="277"/>
        <item x="47"/>
        <item x="15"/>
        <item x="325"/>
        <item x="265"/>
        <item x="246"/>
        <item x="133"/>
        <item x="84"/>
        <item x="163"/>
        <item x="245"/>
        <item x="131"/>
        <item x="125"/>
        <item x="314"/>
        <item x="339"/>
        <item x="22"/>
        <item x="305"/>
        <item x="38"/>
        <item x="330"/>
        <item x="272"/>
        <item x="186"/>
        <item x="160"/>
        <item x="181"/>
        <item x="39"/>
        <item x="215"/>
        <item x="55"/>
        <item x="111"/>
        <item x="86"/>
        <item x="268"/>
        <item x="280"/>
        <item x="327"/>
        <item x="41"/>
        <item x="231"/>
        <item x="71"/>
        <item x="148"/>
        <item x="291"/>
        <item x="140"/>
        <item x="262"/>
        <item x="220"/>
        <item x="53"/>
        <item x="154"/>
        <item x="165"/>
        <item x="37"/>
        <item x="224"/>
        <item x="212"/>
        <item x="153"/>
        <item x="90"/>
        <item x="87"/>
        <item x="267"/>
        <item x="112"/>
        <item x="134"/>
        <item x="255"/>
        <item x="29"/>
        <item x="234"/>
        <item x="235"/>
        <item x="260"/>
        <item x="283"/>
        <item x="199"/>
        <item x="93"/>
        <item x="289"/>
        <item x="109"/>
        <item x="104"/>
        <item x="205"/>
        <item x="91"/>
        <item x="157"/>
        <item x="196"/>
        <item x="285"/>
        <item x="172"/>
        <item x="222"/>
        <item x="40"/>
        <item x="274"/>
        <item x="132"/>
        <item x="114"/>
        <item x="82"/>
        <item x="241"/>
        <item x="174"/>
        <item x="43"/>
        <item x="10"/>
        <item x="273"/>
        <item x="155"/>
        <item x="184"/>
        <item x="49"/>
        <item x="51"/>
        <item x="7"/>
        <item x="335"/>
        <item x="250"/>
        <item x="65"/>
        <item x="292"/>
        <item x="60"/>
        <item x="239"/>
        <item x="164"/>
        <item x="142"/>
        <item x="236"/>
        <item x="177"/>
        <item x="76"/>
        <item x="202"/>
        <item x="70"/>
        <item x="59"/>
        <item x="147"/>
        <item x="101"/>
        <item x="13"/>
        <item x="25"/>
        <item x="5"/>
        <item x="99"/>
        <item x="50"/>
        <item x="217"/>
        <item x="26"/>
        <item x="294"/>
        <item x="138"/>
        <item x="119"/>
        <item x="80"/>
        <item x="167"/>
        <item x="194"/>
        <item x="256"/>
        <item x="120"/>
        <item x="275"/>
        <item x="270"/>
        <item x="211"/>
        <item x="62"/>
        <item x="98"/>
        <item x="169"/>
        <item x="271"/>
        <item x="46"/>
        <item x="178"/>
        <item x="287"/>
        <item x="6"/>
        <item x="251"/>
        <item x="57"/>
        <item x="228"/>
        <item x="331"/>
        <item x="33"/>
        <item x="207"/>
        <item x="162"/>
        <item x="34"/>
        <item x="19"/>
        <item x="110"/>
        <item x="139"/>
        <item x="159"/>
        <item x="17"/>
        <item x="115"/>
        <item x="237"/>
        <item x="156"/>
        <item x="333"/>
        <item x="168"/>
        <item x="337"/>
        <item x="185"/>
        <item x="179"/>
        <item x="24"/>
        <item x="298"/>
        <item x="18"/>
        <item x="253"/>
        <item x="189"/>
        <item x="295"/>
        <item x="36"/>
        <item x="149"/>
        <item x="95"/>
        <item x="204"/>
        <item x="54"/>
        <item x="45"/>
        <item x="323"/>
        <item x="102"/>
        <item x="0"/>
        <item x="58"/>
        <item x="190"/>
        <item x="66"/>
        <item x="81"/>
        <item x="309"/>
        <item x="336"/>
        <item x="195"/>
        <item x="332"/>
        <item x="223"/>
        <item x="146"/>
        <item x="244"/>
        <item x="77"/>
        <item x="106"/>
        <item x="221"/>
        <item x="324"/>
        <item x="152"/>
        <item x="308"/>
        <item x="16"/>
        <item x="182"/>
        <item x="286"/>
        <item x="216"/>
        <item x="319"/>
        <item x="108"/>
        <item x="316"/>
        <item x="103"/>
        <item x="144"/>
        <item x="175"/>
        <item x="30"/>
        <item x="302"/>
        <item x="113"/>
        <item x="105"/>
        <item x="247"/>
        <item x="192"/>
        <item x="123"/>
        <item x="20"/>
        <item x="88"/>
        <item x="75"/>
        <item x="329"/>
        <item x="341"/>
        <item x="23"/>
        <item x="259"/>
        <item x="338"/>
        <item x="299"/>
        <item x="227"/>
        <item x="122"/>
        <item x="61"/>
        <item x="124"/>
        <item x="56"/>
        <item x="288"/>
        <item x="301"/>
        <item x="191"/>
        <item x="208"/>
        <item x="130"/>
        <item x="278"/>
        <item x="225"/>
        <item x="74"/>
        <item x="126"/>
        <item x="197"/>
        <item x="42"/>
        <item x="281"/>
        <item x="210"/>
        <item x="296"/>
        <item x="201"/>
        <item x="83"/>
        <item x="32"/>
        <item x="188"/>
        <item x="242"/>
        <item x="128"/>
        <item x="249"/>
        <item x="161"/>
        <item x="219"/>
        <item x="63"/>
        <item x="304"/>
        <item x="312"/>
        <item x="143"/>
        <item x="226"/>
        <item x="307"/>
        <item x="135"/>
        <item x="322"/>
        <item x="252"/>
        <item x="166"/>
        <item x="254"/>
        <item x="293"/>
        <item x="28"/>
        <item x="321"/>
        <item x="150"/>
        <item x="141"/>
        <item x="72"/>
        <item x="145"/>
        <item x="193"/>
        <item x="158"/>
        <item x="107"/>
        <item x="121"/>
        <item x="290"/>
        <item x="313"/>
        <item x="9"/>
        <item x="92"/>
        <item x="44"/>
        <item x="269"/>
        <item x="8"/>
        <item x="320"/>
        <item x="21"/>
        <item x="340"/>
        <item x="180"/>
        <item x="238"/>
        <item x="306"/>
        <item x="248"/>
        <item x="310"/>
        <item x="279"/>
        <item x="206"/>
        <item x="297"/>
        <item x="261"/>
        <item x="258"/>
        <item x="232"/>
        <item x="78"/>
        <item x="85"/>
        <item x="183"/>
        <item x="266"/>
        <item x="173"/>
        <item x="69"/>
        <item x="2"/>
        <item x="35"/>
        <item x="68"/>
        <item x="243"/>
        <item x="318"/>
        <item x="303"/>
        <item x="198"/>
        <item x="151"/>
        <item x="176"/>
        <item x="213"/>
        <item x="31"/>
        <item x="284"/>
        <item x="230"/>
        <item x="282"/>
        <item x="97"/>
        <item x="67"/>
        <item x="200"/>
        <item x="317"/>
        <item x="300"/>
        <item x="12"/>
        <item x="64"/>
        <item x="214"/>
        <item x="187"/>
        <item x="129"/>
        <item x="14"/>
        <item x="3"/>
        <item x="263"/>
        <item x="52"/>
        <item x="116"/>
        <item x="209"/>
        <item x="89"/>
        <item x="334"/>
        <item x="27"/>
        <item x="94"/>
        <item x="229"/>
        <item x="48"/>
        <item x="96"/>
        <item x="79"/>
        <item x="100"/>
        <item t="default"/>
      </items>
    </pivotField>
    <pivotField showAll="0"/>
    <pivotField showAll="0"/>
    <pivotField showAll="0"/>
    <pivotField numFmtId="165" showAll="0"/>
    <pivotField numFmtId="165" showAll="0"/>
    <pivotField showAll="0"/>
    <pivotField showAll="0" defaultSubtotal="0"/>
    <pivotField showAll="0" defaultSubtotal="0"/>
    <pivotField showAll="0" defaultSubtotal="0">
      <items count="4">
        <item x="0"/>
        <item x="1"/>
        <item x="2"/>
        <item x="3"/>
      </items>
    </pivotField>
  </pivotFields>
  <rowFields count="1">
    <field x="1"/>
  </rowFields>
  <rowItems count="6">
    <i>
      <x/>
    </i>
    <i>
      <x v="1"/>
    </i>
    <i>
      <x v="2"/>
    </i>
    <i>
      <x v="3"/>
    </i>
    <i>
      <x v="4"/>
    </i>
    <i t="grand">
      <x/>
    </i>
  </rowItems>
  <colItems count="1">
    <i/>
  </colItems>
  <dataFields count="1">
    <dataField name="Count of Drug Name"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36DE8D-DA6E-47A7-AB8E-27B73A8A7413}"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13:M19" firstHeaderRow="1" firstDataRow="1" firstDataCol="1"/>
  <pivotFields count="17">
    <pivotField axis="axisRow" showAll="0">
      <items count="6">
        <item x="3"/>
        <item x="0"/>
        <item x="2"/>
        <item x="4"/>
        <item x="1"/>
        <item t="default"/>
      </items>
    </pivotField>
    <pivotField showAll="0"/>
    <pivotField showAll="0"/>
    <pivotField showAll="0"/>
    <pivotField showAll="0"/>
    <pivotField numFmtId="166" showAll="0"/>
    <pivotField showAll="0"/>
    <pivotField numFmtId="14" showAll="0">
      <items count="343">
        <item x="73"/>
        <item x="171"/>
        <item x="315"/>
        <item x="240"/>
        <item x="264"/>
        <item x="218"/>
        <item x="137"/>
        <item x="118"/>
        <item x="257"/>
        <item x="276"/>
        <item x="1"/>
        <item x="170"/>
        <item x="127"/>
        <item x="328"/>
        <item x="117"/>
        <item x="4"/>
        <item x="326"/>
        <item x="203"/>
        <item x="233"/>
        <item x="311"/>
        <item x="136"/>
        <item x="11"/>
        <item x="277"/>
        <item x="47"/>
        <item x="15"/>
        <item x="325"/>
        <item x="265"/>
        <item x="246"/>
        <item x="133"/>
        <item x="84"/>
        <item x="163"/>
        <item x="245"/>
        <item x="131"/>
        <item x="125"/>
        <item x="314"/>
        <item x="339"/>
        <item x="22"/>
        <item x="305"/>
        <item x="38"/>
        <item x="330"/>
        <item x="272"/>
        <item x="186"/>
        <item x="160"/>
        <item x="181"/>
        <item x="39"/>
        <item x="215"/>
        <item x="55"/>
        <item x="111"/>
        <item x="86"/>
        <item x="268"/>
        <item x="280"/>
        <item x="327"/>
        <item x="41"/>
        <item x="231"/>
        <item x="71"/>
        <item x="148"/>
        <item x="291"/>
        <item x="140"/>
        <item x="262"/>
        <item x="220"/>
        <item x="53"/>
        <item x="154"/>
        <item x="165"/>
        <item x="37"/>
        <item x="224"/>
        <item x="212"/>
        <item x="153"/>
        <item x="90"/>
        <item x="87"/>
        <item x="267"/>
        <item x="112"/>
        <item x="134"/>
        <item x="255"/>
        <item x="29"/>
        <item x="234"/>
        <item x="235"/>
        <item x="260"/>
        <item x="283"/>
        <item x="199"/>
        <item x="93"/>
        <item x="289"/>
        <item x="109"/>
        <item x="104"/>
        <item x="205"/>
        <item x="91"/>
        <item x="157"/>
        <item x="196"/>
        <item x="285"/>
        <item x="172"/>
        <item x="222"/>
        <item x="40"/>
        <item x="274"/>
        <item x="132"/>
        <item x="114"/>
        <item x="82"/>
        <item x="241"/>
        <item x="174"/>
        <item x="43"/>
        <item x="10"/>
        <item x="273"/>
        <item x="155"/>
        <item x="184"/>
        <item x="49"/>
        <item x="51"/>
        <item x="7"/>
        <item x="335"/>
        <item x="250"/>
        <item x="65"/>
        <item x="292"/>
        <item x="60"/>
        <item x="239"/>
        <item x="164"/>
        <item x="142"/>
        <item x="236"/>
        <item x="177"/>
        <item x="76"/>
        <item x="202"/>
        <item x="70"/>
        <item x="59"/>
        <item x="147"/>
        <item x="101"/>
        <item x="13"/>
        <item x="25"/>
        <item x="5"/>
        <item x="99"/>
        <item x="50"/>
        <item x="217"/>
        <item x="26"/>
        <item x="294"/>
        <item x="138"/>
        <item x="119"/>
        <item x="80"/>
        <item x="167"/>
        <item x="194"/>
        <item x="256"/>
        <item x="120"/>
        <item x="275"/>
        <item x="270"/>
        <item x="211"/>
        <item x="62"/>
        <item x="98"/>
        <item x="169"/>
        <item x="271"/>
        <item x="46"/>
        <item x="178"/>
        <item x="287"/>
        <item x="6"/>
        <item x="251"/>
        <item x="57"/>
        <item x="228"/>
        <item x="331"/>
        <item x="33"/>
        <item x="207"/>
        <item x="162"/>
        <item x="34"/>
        <item x="19"/>
        <item x="110"/>
        <item x="139"/>
        <item x="159"/>
        <item x="17"/>
        <item x="115"/>
        <item x="237"/>
        <item x="156"/>
        <item x="333"/>
        <item x="168"/>
        <item x="337"/>
        <item x="185"/>
        <item x="179"/>
        <item x="24"/>
        <item x="298"/>
        <item x="18"/>
        <item x="253"/>
        <item x="189"/>
        <item x="295"/>
        <item x="36"/>
        <item x="149"/>
        <item x="95"/>
        <item x="204"/>
        <item x="54"/>
        <item x="45"/>
        <item x="323"/>
        <item x="102"/>
        <item x="0"/>
        <item x="58"/>
        <item x="190"/>
        <item x="66"/>
        <item x="81"/>
        <item x="309"/>
        <item x="336"/>
        <item x="195"/>
        <item x="332"/>
        <item x="223"/>
        <item x="146"/>
        <item x="244"/>
        <item x="77"/>
        <item x="106"/>
        <item x="221"/>
        <item x="324"/>
        <item x="152"/>
        <item x="308"/>
        <item x="16"/>
        <item x="182"/>
        <item x="286"/>
        <item x="216"/>
        <item x="319"/>
        <item x="108"/>
        <item x="316"/>
        <item x="103"/>
        <item x="144"/>
        <item x="175"/>
        <item x="30"/>
        <item x="302"/>
        <item x="113"/>
        <item x="105"/>
        <item x="247"/>
        <item x="192"/>
        <item x="123"/>
        <item x="20"/>
        <item x="88"/>
        <item x="75"/>
        <item x="329"/>
        <item x="341"/>
        <item x="23"/>
        <item x="259"/>
        <item x="338"/>
        <item x="299"/>
        <item x="227"/>
        <item x="122"/>
        <item x="61"/>
        <item x="124"/>
        <item x="56"/>
        <item x="288"/>
        <item x="301"/>
        <item x="191"/>
        <item x="208"/>
        <item x="130"/>
        <item x="278"/>
        <item x="225"/>
        <item x="74"/>
        <item x="126"/>
        <item x="197"/>
        <item x="42"/>
        <item x="281"/>
        <item x="210"/>
        <item x="296"/>
        <item x="201"/>
        <item x="83"/>
        <item x="32"/>
        <item x="188"/>
        <item x="242"/>
        <item x="128"/>
        <item x="249"/>
        <item x="161"/>
        <item x="219"/>
        <item x="63"/>
        <item x="304"/>
        <item x="312"/>
        <item x="143"/>
        <item x="226"/>
        <item x="307"/>
        <item x="135"/>
        <item x="322"/>
        <item x="252"/>
        <item x="166"/>
        <item x="254"/>
        <item x="293"/>
        <item x="28"/>
        <item x="321"/>
        <item x="150"/>
        <item x="141"/>
        <item x="72"/>
        <item x="145"/>
        <item x="193"/>
        <item x="158"/>
        <item x="107"/>
        <item x="121"/>
        <item x="290"/>
        <item x="313"/>
        <item x="9"/>
        <item x="92"/>
        <item x="44"/>
        <item x="269"/>
        <item x="8"/>
        <item x="320"/>
        <item x="21"/>
        <item x="340"/>
        <item x="180"/>
        <item x="238"/>
        <item x="306"/>
        <item x="248"/>
        <item x="310"/>
        <item x="279"/>
        <item x="206"/>
        <item x="297"/>
        <item x="261"/>
        <item x="258"/>
        <item x="232"/>
        <item x="78"/>
        <item x="85"/>
        <item x="183"/>
        <item x="266"/>
        <item x="173"/>
        <item x="69"/>
        <item x="2"/>
        <item x="35"/>
        <item x="68"/>
        <item x="243"/>
        <item x="318"/>
        <item x="303"/>
        <item x="198"/>
        <item x="151"/>
        <item x="176"/>
        <item x="213"/>
        <item x="31"/>
        <item x="284"/>
        <item x="230"/>
        <item x="282"/>
        <item x="97"/>
        <item x="67"/>
        <item x="200"/>
        <item x="317"/>
        <item x="300"/>
        <item x="12"/>
        <item x="64"/>
        <item x="214"/>
        <item x="187"/>
        <item x="129"/>
        <item x="14"/>
        <item x="3"/>
        <item x="263"/>
        <item x="52"/>
        <item x="116"/>
        <item x="209"/>
        <item x="89"/>
        <item x="334"/>
        <item x="27"/>
        <item x="94"/>
        <item x="229"/>
        <item x="48"/>
        <item x="96"/>
        <item x="79"/>
        <item x="100"/>
        <item t="default"/>
      </items>
    </pivotField>
    <pivotField showAll="0"/>
    <pivotField showAll="0"/>
    <pivotField showAll="0"/>
    <pivotField numFmtId="165" showAll="0"/>
    <pivotField dataField="1" numFmtId="165" showAll="0"/>
    <pivotField showAll="0"/>
    <pivotField showAll="0" defaultSubtotal="0"/>
    <pivotField showAll="0" defaultSubtotal="0"/>
    <pivotField showAll="0" defaultSubtotal="0">
      <items count="4">
        <item x="0"/>
        <item x="1"/>
        <item x="2"/>
        <item x="3"/>
      </items>
    </pivotField>
  </pivotFields>
  <rowFields count="1">
    <field x="0"/>
  </rowFields>
  <rowItems count="6">
    <i>
      <x/>
    </i>
    <i>
      <x v="1"/>
    </i>
    <i>
      <x v="2"/>
    </i>
    <i>
      <x v="3"/>
    </i>
    <i>
      <x v="4"/>
    </i>
    <i t="grand">
      <x/>
    </i>
  </rowItems>
  <colItems count="1">
    <i/>
  </colItems>
  <dataFields count="1">
    <dataField name="Sum of Revenue/Unit " fld="12"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3535E9-CBB8-447A-82BC-70470A1C67C3}"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22:M28" firstHeaderRow="1" firstDataRow="1" firstDataCol="1"/>
  <pivotFields count="17">
    <pivotField showAll="0"/>
    <pivotField showAll="0"/>
    <pivotField showAll="0"/>
    <pivotField showAll="0"/>
    <pivotField showAll="0"/>
    <pivotField numFmtId="166" showAll="0"/>
    <pivotField showAll="0"/>
    <pivotField numFmtId="14" showAll="0">
      <items count="343">
        <item x="73"/>
        <item x="171"/>
        <item x="315"/>
        <item x="240"/>
        <item x="264"/>
        <item x="218"/>
        <item x="137"/>
        <item x="118"/>
        <item x="257"/>
        <item x="276"/>
        <item x="1"/>
        <item x="170"/>
        <item x="127"/>
        <item x="328"/>
        <item x="117"/>
        <item x="4"/>
        <item x="326"/>
        <item x="203"/>
        <item x="233"/>
        <item x="311"/>
        <item x="136"/>
        <item x="11"/>
        <item x="277"/>
        <item x="47"/>
        <item x="15"/>
        <item x="325"/>
        <item x="265"/>
        <item x="246"/>
        <item x="133"/>
        <item x="84"/>
        <item x="163"/>
        <item x="245"/>
        <item x="131"/>
        <item x="125"/>
        <item x="314"/>
        <item x="339"/>
        <item x="22"/>
        <item x="305"/>
        <item x="38"/>
        <item x="330"/>
        <item x="272"/>
        <item x="186"/>
        <item x="160"/>
        <item x="181"/>
        <item x="39"/>
        <item x="215"/>
        <item x="55"/>
        <item x="111"/>
        <item x="86"/>
        <item x="268"/>
        <item x="280"/>
        <item x="327"/>
        <item x="41"/>
        <item x="231"/>
        <item x="71"/>
        <item x="148"/>
        <item x="291"/>
        <item x="140"/>
        <item x="262"/>
        <item x="220"/>
        <item x="53"/>
        <item x="154"/>
        <item x="165"/>
        <item x="37"/>
        <item x="224"/>
        <item x="212"/>
        <item x="153"/>
        <item x="90"/>
        <item x="87"/>
        <item x="267"/>
        <item x="112"/>
        <item x="134"/>
        <item x="255"/>
        <item x="29"/>
        <item x="234"/>
        <item x="235"/>
        <item x="260"/>
        <item x="283"/>
        <item x="199"/>
        <item x="93"/>
        <item x="289"/>
        <item x="109"/>
        <item x="104"/>
        <item x="205"/>
        <item x="91"/>
        <item x="157"/>
        <item x="196"/>
        <item x="285"/>
        <item x="172"/>
        <item x="222"/>
        <item x="40"/>
        <item x="274"/>
        <item x="132"/>
        <item x="114"/>
        <item x="82"/>
        <item x="241"/>
        <item x="174"/>
        <item x="43"/>
        <item x="10"/>
        <item x="273"/>
        <item x="155"/>
        <item x="184"/>
        <item x="49"/>
        <item x="51"/>
        <item x="7"/>
        <item x="335"/>
        <item x="250"/>
        <item x="65"/>
        <item x="292"/>
        <item x="60"/>
        <item x="239"/>
        <item x="164"/>
        <item x="142"/>
        <item x="236"/>
        <item x="177"/>
        <item x="76"/>
        <item x="202"/>
        <item x="70"/>
        <item x="59"/>
        <item x="147"/>
        <item x="101"/>
        <item x="13"/>
        <item x="25"/>
        <item x="5"/>
        <item x="99"/>
        <item x="50"/>
        <item x="217"/>
        <item x="26"/>
        <item x="294"/>
        <item x="138"/>
        <item x="119"/>
        <item x="80"/>
        <item x="167"/>
        <item x="194"/>
        <item x="256"/>
        <item x="120"/>
        <item x="275"/>
        <item x="270"/>
        <item x="211"/>
        <item x="62"/>
        <item x="98"/>
        <item x="169"/>
        <item x="271"/>
        <item x="46"/>
        <item x="178"/>
        <item x="287"/>
        <item x="6"/>
        <item x="251"/>
        <item x="57"/>
        <item x="228"/>
        <item x="331"/>
        <item x="33"/>
        <item x="207"/>
        <item x="162"/>
        <item x="34"/>
        <item x="19"/>
        <item x="110"/>
        <item x="139"/>
        <item x="159"/>
        <item x="17"/>
        <item x="115"/>
        <item x="237"/>
        <item x="156"/>
        <item x="333"/>
        <item x="168"/>
        <item x="337"/>
        <item x="185"/>
        <item x="179"/>
        <item x="24"/>
        <item x="298"/>
        <item x="18"/>
        <item x="253"/>
        <item x="189"/>
        <item x="295"/>
        <item x="36"/>
        <item x="149"/>
        <item x="95"/>
        <item x="204"/>
        <item x="54"/>
        <item x="45"/>
        <item x="323"/>
        <item x="102"/>
        <item x="0"/>
        <item x="58"/>
        <item x="190"/>
        <item x="66"/>
        <item x="81"/>
        <item x="309"/>
        <item x="336"/>
        <item x="195"/>
        <item x="332"/>
        <item x="223"/>
        <item x="146"/>
        <item x="244"/>
        <item x="77"/>
        <item x="106"/>
        <item x="221"/>
        <item x="324"/>
        <item x="152"/>
        <item x="308"/>
        <item x="16"/>
        <item x="182"/>
        <item x="286"/>
        <item x="216"/>
        <item x="319"/>
        <item x="108"/>
        <item x="316"/>
        <item x="103"/>
        <item x="144"/>
        <item x="175"/>
        <item x="30"/>
        <item x="302"/>
        <item x="113"/>
        <item x="105"/>
        <item x="247"/>
        <item x="192"/>
        <item x="123"/>
        <item x="20"/>
        <item x="88"/>
        <item x="75"/>
        <item x="329"/>
        <item x="341"/>
        <item x="23"/>
        <item x="259"/>
        <item x="338"/>
        <item x="299"/>
        <item x="227"/>
        <item x="122"/>
        <item x="61"/>
        <item x="124"/>
        <item x="56"/>
        <item x="288"/>
        <item x="301"/>
        <item x="191"/>
        <item x="208"/>
        <item x="130"/>
        <item x="278"/>
        <item x="225"/>
        <item x="74"/>
        <item x="126"/>
        <item x="197"/>
        <item x="42"/>
        <item x="281"/>
        <item x="210"/>
        <item x="296"/>
        <item x="201"/>
        <item x="83"/>
        <item x="32"/>
        <item x="188"/>
        <item x="242"/>
        <item x="128"/>
        <item x="249"/>
        <item x="161"/>
        <item x="219"/>
        <item x="63"/>
        <item x="304"/>
        <item x="312"/>
        <item x="143"/>
        <item x="226"/>
        <item x="307"/>
        <item x="135"/>
        <item x="322"/>
        <item x="252"/>
        <item x="166"/>
        <item x="254"/>
        <item x="293"/>
        <item x="28"/>
        <item x="321"/>
        <item x="150"/>
        <item x="141"/>
        <item x="72"/>
        <item x="145"/>
        <item x="193"/>
        <item x="158"/>
        <item x="107"/>
        <item x="121"/>
        <item x="290"/>
        <item x="313"/>
        <item x="9"/>
        <item x="92"/>
        <item x="44"/>
        <item x="269"/>
        <item x="8"/>
        <item x="320"/>
        <item x="21"/>
        <item x="340"/>
        <item x="180"/>
        <item x="238"/>
        <item x="306"/>
        <item x="248"/>
        <item x="310"/>
        <item x="279"/>
        <item x="206"/>
        <item x="297"/>
        <item x="261"/>
        <item x="258"/>
        <item x="232"/>
        <item x="78"/>
        <item x="85"/>
        <item x="183"/>
        <item x="266"/>
        <item x="173"/>
        <item x="69"/>
        <item x="2"/>
        <item x="35"/>
        <item x="68"/>
        <item x="243"/>
        <item x="318"/>
        <item x="303"/>
        <item x="198"/>
        <item x="151"/>
        <item x="176"/>
        <item x="213"/>
        <item x="31"/>
        <item x="284"/>
        <item x="230"/>
        <item x="282"/>
        <item x="97"/>
        <item x="67"/>
        <item x="200"/>
        <item x="317"/>
        <item x="300"/>
        <item x="12"/>
        <item x="64"/>
        <item x="214"/>
        <item x="187"/>
        <item x="129"/>
        <item x="14"/>
        <item x="3"/>
        <item x="263"/>
        <item x="52"/>
        <item x="116"/>
        <item x="209"/>
        <item x="89"/>
        <item x="334"/>
        <item x="27"/>
        <item x="94"/>
        <item x="229"/>
        <item x="48"/>
        <item x="96"/>
        <item x="79"/>
        <item x="100"/>
        <item t="default"/>
      </items>
    </pivotField>
    <pivotField showAll="0"/>
    <pivotField showAll="0"/>
    <pivotField axis="axisRow" showAll="0">
      <items count="6">
        <item x="0"/>
        <item x="1"/>
        <item x="3"/>
        <item x="2"/>
        <item x="4"/>
        <item t="default"/>
      </items>
    </pivotField>
    <pivotField numFmtId="165" showAll="0"/>
    <pivotField dataField="1" numFmtId="165" showAll="0"/>
    <pivotField showAll="0"/>
    <pivotField showAll="0" defaultSubtotal="0"/>
    <pivotField showAll="0" defaultSubtotal="0"/>
    <pivotField showAll="0" defaultSubtotal="0">
      <items count="4">
        <item x="0"/>
        <item x="1"/>
        <item x="2"/>
        <item x="3"/>
      </items>
    </pivotField>
  </pivotFields>
  <rowFields count="1">
    <field x="10"/>
  </rowFields>
  <rowItems count="6">
    <i>
      <x/>
    </i>
    <i>
      <x v="1"/>
    </i>
    <i>
      <x v="2"/>
    </i>
    <i>
      <x v="3"/>
    </i>
    <i>
      <x v="4"/>
    </i>
    <i t="grand">
      <x/>
    </i>
  </rowItems>
  <colItems count="1">
    <i/>
  </colItems>
  <dataFields count="1">
    <dataField name="Sum of Revenue/Unit " fld="12"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80F863-9FB7-4B72-BA30-0E840F62189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4:G10" firstHeaderRow="1" firstDataRow="1" firstDataCol="1"/>
  <pivotFields count="17">
    <pivotField axis="axisRow" showAll="0">
      <items count="6">
        <item x="3"/>
        <item x="0"/>
        <item x="2"/>
        <item x="4"/>
        <item x="1"/>
        <item t="default"/>
      </items>
    </pivotField>
    <pivotField showAll="0"/>
    <pivotField showAll="0"/>
    <pivotField showAll="0"/>
    <pivotField showAll="0"/>
    <pivotField numFmtId="166" showAll="0"/>
    <pivotField showAll="0"/>
    <pivotField numFmtId="14" showAll="0">
      <items count="343">
        <item x="73"/>
        <item x="171"/>
        <item x="315"/>
        <item x="240"/>
        <item x="264"/>
        <item x="218"/>
        <item x="137"/>
        <item x="118"/>
        <item x="257"/>
        <item x="276"/>
        <item x="1"/>
        <item x="170"/>
        <item x="127"/>
        <item x="328"/>
        <item x="117"/>
        <item x="4"/>
        <item x="326"/>
        <item x="203"/>
        <item x="233"/>
        <item x="311"/>
        <item x="136"/>
        <item x="11"/>
        <item x="277"/>
        <item x="47"/>
        <item x="15"/>
        <item x="325"/>
        <item x="265"/>
        <item x="246"/>
        <item x="133"/>
        <item x="84"/>
        <item x="163"/>
        <item x="245"/>
        <item x="131"/>
        <item x="125"/>
        <item x="314"/>
        <item x="339"/>
        <item x="22"/>
        <item x="305"/>
        <item x="38"/>
        <item x="330"/>
        <item x="272"/>
        <item x="186"/>
        <item x="160"/>
        <item x="181"/>
        <item x="39"/>
        <item x="215"/>
        <item x="55"/>
        <item x="111"/>
        <item x="86"/>
        <item x="268"/>
        <item x="280"/>
        <item x="327"/>
        <item x="41"/>
        <item x="231"/>
        <item x="71"/>
        <item x="148"/>
        <item x="291"/>
        <item x="140"/>
        <item x="262"/>
        <item x="220"/>
        <item x="53"/>
        <item x="154"/>
        <item x="165"/>
        <item x="37"/>
        <item x="224"/>
        <item x="212"/>
        <item x="153"/>
        <item x="90"/>
        <item x="87"/>
        <item x="267"/>
        <item x="112"/>
        <item x="134"/>
        <item x="255"/>
        <item x="29"/>
        <item x="234"/>
        <item x="235"/>
        <item x="260"/>
        <item x="283"/>
        <item x="199"/>
        <item x="93"/>
        <item x="289"/>
        <item x="109"/>
        <item x="104"/>
        <item x="205"/>
        <item x="91"/>
        <item x="157"/>
        <item x="196"/>
        <item x="285"/>
        <item x="172"/>
        <item x="222"/>
        <item x="40"/>
        <item x="274"/>
        <item x="132"/>
        <item x="114"/>
        <item x="82"/>
        <item x="241"/>
        <item x="174"/>
        <item x="43"/>
        <item x="10"/>
        <item x="273"/>
        <item x="155"/>
        <item x="184"/>
        <item x="49"/>
        <item x="51"/>
        <item x="7"/>
        <item x="335"/>
        <item x="250"/>
        <item x="65"/>
        <item x="292"/>
        <item x="60"/>
        <item x="239"/>
        <item x="164"/>
        <item x="142"/>
        <item x="236"/>
        <item x="177"/>
        <item x="76"/>
        <item x="202"/>
        <item x="70"/>
        <item x="59"/>
        <item x="147"/>
        <item x="101"/>
        <item x="13"/>
        <item x="25"/>
        <item x="5"/>
        <item x="99"/>
        <item x="50"/>
        <item x="217"/>
        <item x="26"/>
        <item x="294"/>
        <item x="138"/>
        <item x="119"/>
        <item x="80"/>
        <item x="167"/>
        <item x="194"/>
        <item x="256"/>
        <item x="120"/>
        <item x="275"/>
        <item x="270"/>
        <item x="211"/>
        <item x="62"/>
        <item x="98"/>
        <item x="169"/>
        <item x="271"/>
        <item x="46"/>
        <item x="178"/>
        <item x="287"/>
        <item x="6"/>
        <item x="251"/>
        <item x="57"/>
        <item x="228"/>
        <item x="331"/>
        <item x="33"/>
        <item x="207"/>
        <item x="162"/>
        <item x="34"/>
        <item x="19"/>
        <item x="110"/>
        <item x="139"/>
        <item x="159"/>
        <item x="17"/>
        <item x="115"/>
        <item x="237"/>
        <item x="156"/>
        <item x="333"/>
        <item x="168"/>
        <item x="337"/>
        <item x="185"/>
        <item x="179"/>
        <item x="24"/>
        <item x="298"/>
        <item x="18"/>
        <item x="253"/>
        <item x="189"/>
        <item x="295"/>
        <item x="36"/>
        <item x="149"/>
        <item x="95"/>
        <item x="204"/>
        <item x="54"/>
        <item x="45"/>
        <item x="323"/>
        <item x="102"/>
        <item x="0"/>
        <item x="58"/>
        <item x="190"/>
        <item x="66"/>
        <item x="81"/>
        <item x="309"/>
        <item x="336"/>
        <item x="195"/>
        <item x="332"/>
        <item x="223"/>
        <item x="146"/>
        <item x="244"/>
        <item x="77"/>
        <item x="106"/>
        <item x="221"/>
        <item x="324"/>
        <item x="152"/>
        <item x="308"/>
        <item x="16"/>
        <item x="182"/>
        <item x="286"/>
        <item x="216"/>
        <item x="319"/>
        <item x="108"/>
        <item x="316"/>
        <item x="103"/>
        <item x="144"/>
        <item x="175"/>
        <item x="30"/>
        <item x="302"/>
        <item x="113"/>
        <item x="105"/>
        <item x="247"/>
        <item x="192"/>
        <item x="123"/>
        <item x="20"/>
        <item x="88"/>
        <item x="75"/>
        <item x="329"/>
        <item x="341"/>
        <item x="23"/>
        <item x="259"/>
        <item x="338"/>
        <item x="299"/>
        <item x="227"/>
        <item x="122"/>
        <item x="61"/>
        <item x="124"/>
        <item x="56"/>
        <item x="288"/>
        <item x="301"/>
        <item x="191"/>
        <item x="208"/>
        <item x="130"/>
        <item x="278"/>
        <item x="225"/>
        <item x="74"/>
        <item x="126"/>
        <item x="197"/>
        <item x="42"/>
        <item x="281"/>
        <item x="210"/>
        <item x="296"/>
        <item x="201"/>
        <item x="83"/>
        <item x="32"/>
        <item x="188"/>
        <item x="242"/>
        <item x="128"/>
        <item x="249"/>
        <item x="161"/>
        <item x="219"/>
        <item x="63"/>
        <item x="304"/>
        <item x="312"/>
        <item x="143"/>
        <item x="226"/>
        <item x="307"/>
        <item x="135"/>
        <item x="322"/>
        <item x="252"/>
        <item x="166"/>
        <item x="254"/>
        <item x="293"/>
        <item x="28"/>
        <item x="321"/>
        <item x="150"/>
        <item x="141"/>
        <item x="72"/>
        <item x="145"/>
        <item x="193"/>
        <item x="158"/>
        <item x="107"/>
        <item x="121"/>
        <item x="290"/>
        <item x="313"/>
        <item x="9"/>
        <item x="92"/>
        <item x="44"/>
        <item x="269"/>
        <item x="8"/>
        <item x="320"/>
        <item x="21"/>
        <item x="340"/>
        <item x="180"/>
        <item x="238"/>
        <item x="306"/>
        <item x="248"/>
        <item x="310"/>
        <item x="279"/>
        <item x="206"/>
        <item x="297"/>
        <item x="261"/>
        <item x="258"/>
        <item x="232"/>
        <item x="78"/>
        <item x="85"/>
        <item x="183"/>
        <item x="266"/>
        <item x="173"/>
        <item x="69"/>
        <item x="2"/>
        <item x="35"/>
        <item x="68"/>
        <item x="243"/>
        <item x="318"/>
        <item x="303"/>
        <item x="198"/>
        <item x="151"/>
        <item x="176"/>
        <item x="213"/>
        <item x="31"/>
        <item x="284"/>
        <item x="230"/>
        <item x="282"/>
        <item x="97"/>
        <item x="67"/>
        <item x="200"/>
        <item x="317"/>
        <item x="300"/>
        <item x="12"/>
        <item x="64"/>
        <item x="214"/>
        <item x="187"/>
        <item x="129"/>
        <item x="14"/>
        <item x="3"/>
        <item x="263"/>
        <item x="52"/>
        <item x="116"/>
        <item x="209"/>
        <item x="89"/>
        <item x="334"/>
        <item x="27"/>
        <item x="94"/>
        <item x="229"/>
        <item x="48"/>
        <item x="96"/>
        <item x="79"/>
        <item x="100"/>
        <item t="default"/>
      </items>
    </pivotField>
    <pivotField showAll="0"/>
    <pivotField showAll="0"/>
    <pivotField showAll="0"/>
    <pivotField dataField="1" numFmtId="165" showAll="0"/>
    <pivotField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i>
    <i>
      <x v="1"/>
    </i>
    <i>
      <x v="2"/>
    </i>
    <i>
      <x v="3"/>
    </i>
    <i>
      <x v="4"/>
    </i>
    <i t="grand">
      <x/>
    </i>
  </rowItems>
  <colItems count="1">
    <i/>
  </colItems>
  <dataFields count="1">
    <dataField name="Sum of Revenue in numbers" fld="11" baseField="0" baseItem="0" numFmtId="165"/>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F7DA25-BC78-49BC-851A-C19739704AE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L4:M10" firstHeaderRow="1" firstDataRow="1" firstDataCol="1"/>
  <pivotFields count="17">
    <pivotField showAll="0"/>
    <pivotField showAll="0"/>
    <pivotField showAll="0"/>
    <pivotField showAll="0"/>
    <pivotField showAll="0"/>
    <pivotField numFmtId="166" showAll="0"/>
    <pivotField showAll="0"/>
    <pivotField numFmtId="14" showAll="0">
      <items count="343">
        <item x="73"/>
        <item x="171"/>
        <item x="315"/>
        <item x="240"/>
        <item x="264"/>
        <item x="218"/>
        <item x="137"/>
        <item x="118"/>
        <item x="257"/>
        <item x="276"/>
        <item x="1"/>
        <item x="170"/>
        <item x="127"/>
        <item x="328"/>
        <item x="117"/>
        <item x="4"/>
        <item x="326"/>
        <item x="203"/>
        <item x="233"/>
        <item x="311"/>
        <item x="136"/>
        <item x="11"/>
        <item x="277"/>
        <item x="47"/>
        <item x="15"/>
        <item x="325"/>
        <item x="265"/>
        <item x="246"/>
        <item x="133"/>
        <item x="84"/>
        <item x="163"/>
        <item x="245"/>
        <item x="131"/>
        <item x="125"/>
        <item x="314"/>
        <item x="339"/>
        <item x="22"/>
        <item x="305"/>
        <item x="38"/>
        <item x="330"/>
        <item x="272"/>
        <item x="186"/>
        <item x="160"/>
        <item x="181"/>
        <item x="39"/>
        <item x="215"/>
        <item x="55"/>
        <item x="111"/>
        <item x="86"/>
        <item x="268"/>
        <item x="280"/>
        <item x="327"/>
        <item x="41"/>
        <item x="231"/>
        <item x="71"/>
        <item x="148"/>
        <item x="291"/>
        <item x="140"/>
        <item x="262"/>
        <item x="220"/>
        <item x="53"/>
        <item x="154"/>
        <item x="165"/>
        <item x="37"/>
        <item x="224"/>
        <item x="212"/>
        <item x="153"/>
        <item x="90"/>
        <item x="87"/>
        <item x="267"/>
        <item x="112"/>
        <item x="134"/>
        <item x="255"/>
        <item x="29"/>
        <item x="234"/>
        <item x="235"/>
        <item x="260"/>
        <item x="283"/>
        <item x="199"/>
        <item x="93"/>
        <item x="289"/>
        <item x="109"/>
        <item x="104"/>
        <item x="205"/>
        <item x="91"/>
        <item x="157"/>
        <item x="196"/>
        <item x="285"/>
        <item x="172"/>
        <item x="222"/>
        <item x="40"/>
        <item x="274"/>
        <item x="132"/>
        <item x="114"/>
        <item x="82"/>
        <item x="241"/>
        <item x="174"/>
        <item x="43"/>
        <item x="10"/>
        <item x="273"/>
        <item x="155"/>
        <item x="184"/>
        <item x="49"/>
        <item x="51"/>
        <item x="7"/>
        <item x="335"/>
        <item x="250"/>
        <item x="65"/>
        <item x="292"/>
        <item x="60"/>
        <item x="239"/>
        <item x="164"/>
        <item x="142"/>
        <item x="236"/>
        <item x="177"/>
        <item x="76"/>
        <item x="202"/>
        <item x="70"/>
        <item x="59"/>
        <item x="147"/>
        <item x="101"/>
        <item x="13"/>
        <item x="25"/>
        <item x="5"/>
        <item x="99"/>
        <item x="50"/>
        <item x="217"/>
        <item x="26"/>
        <item x="294"/>
        <item x="138"/>
        <item x="119"/>
        <item x="80"/>
        <item x="167"/>
        <item x="194"/>
        <item x="256"/>
        <item x="120"/>
        <item x="275"/>
        <item x="270"/>
        <item x="211"/>
        <item x="62"/>
        <item x="98"/>
        <item x="169"/>
        <item x="271"/>
        <item x="46"/>
        <item x="178"/>
        <item x="287"/>
        <item x="6"/>
        <item x="251"/>
        <item x="57"/>
        <item x="228"/>
        <item x="331"/>
        <item x="33"/>
        <item x="207"/>
        <item x="162"/>
        <item x="34"/>
        <item x="19"/>
        <item x="110"/>
        <item x="139"/>
        <item x="159"/>
        <item x="17"/>
        <item x="115"/>
        <item x="237"/>
        <item x="156"/>
        <item x="333"/>
        <item x="168"/>
        <item x="337"/>
        <item x="185"/>
        <item x="179"/>
        <item x="24"/>
        <item x="298"/>
        <item x="18"/>
        <item x="253"/>
        <item x="189"/>
        <item x="295"/>
        <item x="36"/>
        <item x="149"/>
        <item x="95"/>
        <item x="204"/>
        <item x="54"/>
        <item x="45"/>
        <item x="323"/>
        <item x="102"/>
        <item x="0"/>
        <item x="58"/>
        <item x="190"/>
        <item x="66"/>
        <item x="81"/>
        <item x="309"/>
        <item x="336"/>
        <item x="195"/>
        <item x="332"/>
        <item x="223"/>
        <item x="146"/>
        <item x="244"/>
        <item x="77"/>
        <item x="106"/>
        <item x="221"/>
        <item x="324"/>
        <item x="152"/>
        <item x="308"/>
        <item x="16"/>
        <item x="182"/>
        <item x="286"/>
        <item x="216"/>
        <item x="319"/>
        <item x="108"/>
        <item x="316"/>
        <item x="103"/>
        <item x="144"/>
        <item x="175"/>
        <item x="30"/>
        <item x="302"/>
        <item x="113"/>
        <item x="105"/>
        <item x="247"/>
        <item x="192"/>
        <item x="123"/>
        <item x="20"/>
        <item x="88"/>
        <item x="75"/>
        <item x="329"/>
        <item x="341"/>
        <item x="23"/>
        <item x="259"/>
        <item x="338"/>
        <item x="299"/>
        <item x="227"/>
        <item x="122"/>
        <item x="61"/>
        <item x="124"/>
        <item x="56"/>
        <item x="288"/>
        <item x="301"/>
        <item x="191"/>
        <item x="208"/>
        <item x="130"/>
        <item x="278"/>
        <item x="225"/>
        <item x="74"/>
        <item x="126"/>
        <item x="197"/>
        <item x="42"/>
        <item x="281"/>
        <item x="210"/>
        <item x="296"/>
        <item x="201"/>
        <item x="83"/>
        <item x="32"/>
        <item x="188"/>
        <item x="242"/>
        <item x="128"/>
        <item x="249"/>
        <item x="161"/>
        <item x="219"/>
        <item x="63"/>
        <item x="304"/>
        <item x="312"/>
        <item x="143"/>
        <item x="226"/>
        <item x="307"/>
        <item x="135"/>
        <item x="322"/>
        <item x="252"/>
        <item x="166"/>
        <item x="254"/>
        <item x="293"/>
        <item x="28"/>
        <item x="321"/>
        <item x="150"/>
        <item x="141"/>
        <item x="72"/>
        <item x="145"/>
        <item x="193"/>
        <item x="158"/>
        <item x="107"/>
        <item x="121"/>
        <item x="290"/>
        <item x="313"/>
        <item x="9"/>
        <item x="92"/>
        <item x="44"/>
        <item x="269"/>
        <item x="8"/>
        <item x="320"/>
        <item x="21"/>
        <item x="340"/>
        <item x="180"/>
        <item x="238"/>
        <item x="306"/>
        <item x="248"/>
        <item x="310"/>
        <item x="279"/>
        <item x="206"/>
        <item x="297"/>
        <item x="261"/>
        <item x="258"/>
        <item x="232"/>
        <item x="78"/>
        <item x="85"/>
        <item x="183"/>
        <item x="266"/>
        <item x="173"/>
        <item x="69"/>
        <item x="2"/>
        <item x="35"/>
        <item x="68"/>
        <item x="243"/>
        <item x="318"/>
        <item x="303"/>
        <item x="198"/>
        <item x="151"/>
        <item x="176"/>
        <item x="213"/>
        <item x="31"/>
        <item x="284"/>
        <item x="230"/>
        <item x="282"/>
        <item x="97"/>
        <item x="67"/>
        <item x="200"/>
        <item x="317"/>
        <item x="300"/>
        <item x="12"/>
        <item x="64"/>
        <item x="214"/>
        <item x="187"/>
        <item x="129"/>
        <item x="14"/>
        <item x="3"/>
        <item x="263"/>
        <item x="52"/>
        <item x="116"/>
        <item x="209"/>
        <item x="89"/>
        <item x="334"/>
        <item x="27"/>
        <item x="94"/>
        <item x="229"/>
        <item x="48"/>
        <item x="96"/>
        <item x="79"/>
        <item x="100"/>
        <item t="default"/>
      </items>
    </pivotField>
    <pivotField showAll="0">
      <items count="6">
        <item x="1"/>
        <item x="2"/>
        <item x="3"/>
        <item x="4"/>
        <item x="0"/>
        <item t="default"/>
      </items>
    </pivotField>
    <pivotField axis="axisRow" showAll="0" measureFilter="1">
      <items count="995">
        <item x="167"/>
        <item x="305"/>
        <item x="606"/>
        <item x="301"/>
        <item x="248"/>
        <item x="984"/>
        <item x="340"/>
        <item x="486"/>
        <item x="230"/>
        <item x="323"/>
        <item x="508"/>
        <item x="570"/>
        <item x="828"/>
        <item x="419"/>
        <item x="719"/>
        <item x="277"/>
        <item x="6"/>
        <item x="86"/>
        <item x="789"/>
        <item x="813"/>
        <item x="850"/>
        <item x="351"/>
        <item x="893"/>
        <item x="983"/>
        <item x="427"/>
        <item x="773"/>
        <item x="901"/>
        <item x="923"/>
        <item x="504"/>
        <item x="645"/>
        <item x="742"/>
        <item x="617"/>
        <item x="468"/>
        <item x="26"/>
        <item x="361"/>
        <item x="352"/>
        <item x="914"/>
        <item x="776"/>
        <item x="622"/>
        <item x="273"/>
        <item x="406"/>
        <item x="292"/>
        <item x="877"/>
        <item x="223"/>
        <item x="136"/>
        <item x="349"/>
        <item x="671"/>
        <item x="685"/>
        <item x="661"/>
        <item x="970"/>
        <item x="458"/>
        <item x="346"/>
        <item x="18"/>
        <item x="428"/>
        <item x="492"/>
        <item x="218"/>
        <item x="123"/>
        <item x="242"/>
        <item x="373"/>
        <item x="92"/>
        <item x="131"/>
        <item x="313"/>
        <item x="720"/>
        <item x="928"/>
        <item x="443"/>
        <item x="920"/>
        <item x="297"/>
        <item x="20"/>
        <item x="896"/>
        <item x="300"/>
        <item x="498"/>
        <item x="724"/>
        <item x="913"/>
        <item x="975"/>
        <item x="683"/>
        <item x="202"/>
        <item x="873"/>
        <item x="353"/>
        <item x="571"/>
        <item x="544"/>
        <item x="837"/>
        <item x="341"/>
        <item x="111"/>
        <item x="986"/>
        <item x="282"/>
        <item x="766"/>
        <item x="287"/>
        <item x="252"/>
        <item x="876"/>
        <item x="281"/>
        <item x="761"/>
        <item x="220"/>
        <item x="318"/>
        <item x="243"/>
        <item x="308"/>
        <item x="577"/>
        <item x="310"/>
        <item x="274"/>
        <item x="241"/>
        <item x="13"/>
        <item x="249"/>
        <item x="640"/>
        <item x="82"/>
        <item x="875"/>
        <item x="864"/>
        <item x="519"/>
        <item x="525"/>
        <item x="79"/>
        <item x="358"/>
        <item x="722"/>
        <item x="470"/>
        <item x="59"/>
        <item x="918"/>
        <item x="115"/>
        <item x="293"/>
        <item x="393"/>
        <item x="93"/>
        <item x="588"/>
        <item x="465"/>
        <item x="654"/>
        <item x="175"/>
        <item x="39"/>
        <item x="530"/>
        <item x="817"/>
        <item x="70"/>
        <item x="702"/>
        <item x="435"/>
        <item x="727"/>
        <item x="154"/>
        <item x="415"/>
        <item x="584"/>
        <item x="441"/>
        <item x="607"/>
        <item x="72"/>
        <item x="120"/>
        <item x="298"/>
        <item x="392"/>
        <item x="399"/>
        <item x="299"/>
        <item x="139"/>
        <item x="503"/>
        <item x="383"/>
        <item x="555"/>
        <item x="362"/>
        <item x="583"/>
        <item x="52"/>
        <item x="518"/>
        <item x="170"/>
        <item x="823"/>
        <item x="662"/>
        <item x="122"/>
        <item x="250"/>
        <item x="405"/>
        <item x="110"/>
        <item x="569"/>
        <item x="650"/>
        <item x="181"/>
        <item x="369"/>
        <item x="466"/>
        <item x="400"/>
        <item x="100"/>
        <item x="102"/>
        <item x="902"/>
        <item x="19"/>
        <item x="266"/>
        <item x="34"/>
        <item x="951"/>
        <item x="557"/>
        <item x="153"/>
        <item x="600"/>
        <item x="396"/>
        <item x="563"/>
        <item x="838"/>
        <item x="227"/>
        <item x="794"/>
        <item x="895"/>
        <item x="952"/>
        <item x="752"/>
        <item x="652"/>
        <item x="969"/>
        <item x="35"/>
        <item x="237"/>
        <item x="856"/>
        <item x="108"/>
        <item x="733"/>
        <item x="585"/>
        <item x="213"/>
        <item x="174"/>
        <item x="750"/>
        <item x="669"/>
        <item x="966"/>
        <item x="134"/>
        <item x="872"/>
        <item x="78"/>
        <item x="307"/>
        <item x="672"/>
        <item x="688"/>
        <item x="3"/>
        <item x="586"/>
        <item x="806"/>
        <item x="338"/>
        <item x="692"/>
        <item x="33"/>
        <item x="22"/>
        <item x="706"/>
        <item x="609"/>
        <item x="30"/>
        <item x="207"/>
        <item x="608"/>
        <item x="85"/>
        <item x="847"/>
        <item x="177"/>
        <item x="595"/>
        <item x="718"/>
        <item x="491"/>
        <item x="267"/>
        <item x="909"/>
        <item x="437"/>
        <item x="290"/>
        <item x="898"/>
        <item x="825"/>
        <item x="144"/>
        <item x="372"/>
        <item x="610"/>
        <item x="389"/>
        <item x="695"/>
        <item x="193"/>
        <item x="587"/>
        <item x="359"/>
        <item x="269"/>
        <item x="939"/>
        <item x="138"/>
        <item x="333"/>
        <item x="180"/>
        <item x="494"/>
        <item x="927"/>
        <item x="105"/>
        <item x="988"/>
        <item x="231"/>
        <item x="386"/>
        <item x="336"/>
        <item x="484"/>
        <item x="7"/>
        <item x="284"/>
        <item x="815"/>
        <item x="703"/>
        <item x="705"/>
        <item x="515"/>
        <item x="926"/>
        <item x="572"/>
        <item x="311"/>
        <item x="4"/>
        <item x="704"/>
        <item x="407"/>
        <item x="445"/>
        <item x="432"/>
        <item x="179"/>
        <item x="783"/>
        <item x="147"/>
        <item x="934"/>
        <item x="596"/>
        <item x="285"/>
        <item x="907"/>
        <item x="370"/>
        <item x="950"/>
        <item x="12"/>
        <item x="885"/>
        <item x="691"/>
        <item x="809"/>
        <item x="257"/>
        <item x="707"/>
        <item x="50"/>
        <item x="260"/>
        <item x="280"/>
        <item x="57"/>
        <item x="275"/>
        <item x="488"/>
        <item x="234"/>
        <item x="225"/>
        <item x="294"/>
        <item x="467"/>
        <item x="531"/>
        <item x="163"/>
        <item x="221"/>
        <item x="842"/>
        <item x="96"/>
        <item x="331"/>
        <item x="804"/>
        <item x="948"/>
        <item x="165"/>
        <item x="89"/>
        <item x="112"/>
        <item x="749"/>
        <item x="101"/>
        <item x="199"/>
        <item x="597"/>
        <item x="385"/>
        <item x="666"/>
        <item x="929"/>
        <item x="775"/>
        <item x="254"/>
        <item x="977"/>
        <item x="384"/>
        <item x="897"/>
        <item x="235"/>
        <item x="203"/>
        <item x="942"/>
        <item x="636"/>
        <item x="764"/>
        <item x="517"/>
        <item x="844"/>
        <item x="24"/>
        <item x="278"/>
        <item x="967"/>
        <item x="721"/>
        <item x="892"/>
        <item x="582"/>
        <item x="146"/>
        <item x="261"/>
        <item x="866"/>
        <item x="164"/>
        <item x="270"/>
        <item x="979"/>
        <item x="189"/>
        <item x="936"/>
        <item x="240"/>
        <item x="616"/>
        <item x="594"/>
        <item x="306"/>
        <item x="860"/>
        <item x="319"/>
        <item x="160"/>
        <item x="420"/>
        <item x="536"/>
        <item x="511"/>
        <item x="156"/>
        <item x="91"/>
        <item x="971"/>
        <item x="554"/>
        <item x="505"/>
        <item x="271"/>
        <item x="795"/>
        <item x="119"/>
        <item x="956"/>
        <item x="547"/>
        <item x="698"/>
        <item x="812"/>
        <item x="104"/>
        <item x="130"/>
        <item x="924"/>
        <item x="1"/>
        <item x="381"/>
        <item x="69"/>
        <item x="209"/>
        <item x="262"/>
        <item x="667"/>
        <item x="701"/>
        <item x="145"/>
        <item x="211"/>
        <item x="729"/>
        <item x="173"/>
        <item x="744"/>
        <item x="810"/>
        <item x="480"/>
        <item x="774"/>
        <item x="332"/>
        <item x="560"/>
        <item x="215"/>
        <item x="771"/>
        <item x="549"/>
        <item x="247"/>
        <item x="981"/>
        <item x="852"/>
        <item x="855"/>
        <item x="647"/>
        <item x="116"/>
        <item x="208"/>
        <item x="821"/>
        <item x="732"/>
        <item x="222"/>
        <item x="788"/>
        <item x="350"/>
        <item x="379"/>
        <item x="841"/>
        <item x="228"/>
        <item x="543"/>
        <item x="357"/>
        <item x="762"/>
        <item x="84"/>
        <item x="590"/>
        <item x="61"/>
        <item x="747"/>
        <item x="132"/>
        <item x="124"/>
        <item x="853"/>
        <item x="430"/>
        <item x="80"/>
        <item x="894"/>
        <item x="959"/>
        <item x="43"/>
        <item x="279"/>
        <item x="593"/>
        <item x="81"/>
        <item x="637"/>
        <item x="625"/>
        <item x="660"/>
        <item x="737"/>
        <item x="479"/>
        <item x="818"/>
        <item x="731"/>
        <item x="906"/>
        <item x="534"/>
        <item x="65"/>
        <item x="741"/>
        <item x="535"/>
        <item x="99"/>
        <item x="118"/>
        <item x="644"/>
        <item x="858"/>
        <item x="740"/>
        <item x="265"/>
        <item x="916"/>
        <item x="429"/>
        <item x="47"/>
        <item x="5"/>
        <item x="743"/>
        <item x="772"/>
        <item x="204"/>
        <item x="137"/>
        <item x="854"/>
        <item x="330"/>
        <item x="337"/>
        <item x="541"/>
        <item x="561"/>
        <item x="700"/>
        <item x="438"/>
        <item x="172"/>
        <item x="182"/>
        <item x="195"/>
        <item x="991"/>
        <item x="558"/>
        <item x="264"/>
        <item x="190"/>
        <item x="66"/>
        <item x="746"/>
        <item x="395"/>
        <item x="159"/>
        <item x="354"/>
        <item x="192"/>
        <item x="460"/>
        <item x="529"/>
        <item x="962"/>
        <item x="28"/>
        <item x="786"/>
        <item x="974"/>
        <item x="343"/>
        <item x="355"/>
        <item x="255"/>
        <item x="713"/>
        <item x="380"/>
        <item x="630"/>
        <item x="826"/>
        <item x="141"/>
        <item x="490"/>
        <item x="715"/>
        <item x="390"/>
        <item x="364"/>
        <item x="210"/>
        <item x="739"/>
        <item x="263"/>
        <item x="992"/>
        <item x="632"/>
        <item x="621"/>
        <item x="94"/>
        <item x="912"/>
        <item x="957"/>
        <item x="919"/>
        <item x="681"/>
        <item x="168"/>
        <item x="433"/>
        <item x="576"/>
        <item x="697"/>
        <item x="778"/>
        <item x="881"/>
        <item x="388"/>
        <item x="449"/>
        <item x="714"/>
        <item x="324"/>
        <item x="760"/>
        <item x="288"/>
        <item x="539"/>
        <item x="289"/>
        <item x="303"/>
        <item x="978"/>
        <item x="699"/>
        <item x="787"/>
        <item x="674"/>
        <item x="214"/>
        <item x="409"/>
        <item x="553"/>
        <item x="631"/>
        <item x="21"/>
        <item x="945"/>
        <item x="481"/>
        <item x="562"/>
        <item x="23"/>
        <item x="376"/>
        <item x="469"/>
        <item x="477"/>
        <item x="862"/>
        <item x="497"/>
        <item x="533"/>
        <item x="564"/>
        <item x="206"/>
        <item x="779"/>
        <item x="903"/>
        <item x="431"/>
        <item x="158"/>
        <item x="113"/>
        <item x="522"/>
        <item x="574"/>
        <item x="668"/>
        <item x="77"/>
        <item x="663"/>
        <item x="800"/>
        <item x="861"/>
        <item x="37"/>
        <item x="178"/>
        <item x="521"/>
        <item x="191"/>
        <item x="161"/>
        <item x="455"/>
        <item x="424"/>
        <item x="556"/>
        <item x="513"/>
        <item x="133"/>
        <item x="233"/>
        <item x="67"/>
        <item x="602"/>
        <item x="411"/>
        <item x="579"/>
        <item x="954"/>
        <item x="9"/>
        <item x="717"/>
        <item x="325"/>
        <item x="693"/>
        <item x="711"/>
        <item x="452"/>
        <item x="964"/>
        <item x="212"/>
        <item x="140"/>
        <item x="546"/>
        <item x="196"/>
        <item x="15"/>
        <item x="49"/>
        <item x="335"/>
        <item x="40"/>
        <item x="236"/>
        <item x="317"/>
        <item x="339"/>
        <item x="347"/>
        <item x="857"/>
        <item x="398"/>
        <item x="768"/>
        <item x="824"/>
        <item x="832"/>
        <item x="785"/>
        <item x="291"/>
        <item x="930"/>
        <item x="446"/>
        <item x="763"/>
        <item x="807"/>
        <item x="889"/>
        <item x="686"/>
        <item x="62"/>
        <item x="36"/>
        <item x="635"/>
        <item x="580"/>
        <item x="792"/>
        <item x="634"/>
        <item x="229"/>
        <item x="98"/>
        <item x="126"/>
        <item x="42"/>
        <item x="25"/>
        <item x="859"/>
        <item x="448"/>
        <item x="183"/>
        <item x="883"/>
        <item x="915"/>
        <item x="626"/>
        <item x="545"/>
        <item x="944"/>
        <item x="759"/>
        <item x="578"/>
        <item x="304"/>
        <item x="728"/>
        <item x="565"/>
        <item x="493"/>
        <item x="391"/>
        <item x="931"/>
        <item x="905"/>
        <item x="423"/>
        <item x="418"/>
        <item x="268"/>
        <item x="745"/>
        <item x="378"/>
        <item x="2"/>
        <item x="834"/>
        <item x="805"/>
        <item x="938"/>
        <item x="75"/>
        <item x="272"/>
        <item x="960"/>
        <item x="963"/>
        <item x="365"/>
        <item x="186"/>
        <item x="748"/>
        <item x="58"/>
        <item x="641"/>
        <item x="993"/>
        <item x="730"/>
        <item x="890"/>
        <item x="751"/>
        <item x="613"/>
        <item x="8"/>
        <item x="781"/>
        <item x="941"/>
        <item x="63"/>
        <item x="53"/>
        <item x="624"/>
        <item x="946"/>
        <item x="366"/>
        <item x="184"/>
        <item x="677"/>
        <item x="520"/>
        <item x="754"/>
        <item x="921"/>
        <item x="670"/>
        <item x="489"/>
        <item x="150"/>
        <item x="651"/>
        <item x="765"/>
        <item x="482"/>
        <item x="457"/>
        <item x="32"/>
        <item x="777"/>
        <item x="846"/>
        <item x="453"/>
        <item x="185"/>
        <item x="961"/>
        <item x="884"/>
        <item x="142"/>
        <item x="426"/>
        <item x="820"/>
        <item x="68"/>
        <item x="836"/>
        <item x="793"/>
        <item x="756"/>
        <item x="114"/>
        <item x="835"/>
        <item x="95"/>
        <item x="316"/>
        <item x="908"/>
        <item x="808"/>
        <item x="537"/>
        <item x="90"/>
        <item x="286"/>
        <item x="604"/>
        <item x="878"/>
        <item x="716"/>
        <item x="509"/>
        <item x="348"/>
        <item x="770"/>
        <item x="244"/>
        <item x="506"/>
        <item x="567"/>
        <item x="990"/>
        <item x="87"/>
        <item x="456"/>
        <item x="801"/>
        <item x="502"/>
        <item x="623"/>
        <item x="796"/>
        <item x="542"/>
        <item x="510"/>
        <item x="342"/>
        <item x="816"/>
        <item x="246"/>
        <item x="464"/>
        <item x="117"/>
        <item x="989"/>
        <item x="500"/>
        <item x="655"/>
        <item x="687"/>
        <item x="708"/>
        <item x="985"/>
        <item x="524"/>
        <item x="401"/>
        <item x="322"/>
        <item x="473"/>
        <item x="888"/>
        <item x="345"/>
        <item x="188"/>
        <item x="17"/>
        <item x="675"/>
        <item x="251"/>
        <item x="879"/>
        <item x="436"/>
        <item x="910"/>
        <item x="822"/>
        <item x="953"/>
        <item x="404"/>
        <item x="932"/>
        <item x="833"/>
        <item x="527"/>
        <item x="814"/>
        <item x="829"/>
        <item x="869"/>
        <item x="673"/>
        <item x="573"/>
        <item x="899"/>
        <item x="767"/>
        <item x="656"/>
        <item x="309"/>
        <item x="627"/>
        <item x="664"/>
        <item x="575"/>
        <item x="935"/>
        <item x="462"/>
        <item x="657"/>
        <item x="780"/>
        <item x="198"/>
        <item x="867"/>
        <item x="71"/>
        <item x="485"/>
        <item x="106"/>
        <item x="151"/>
        <item x="589"/>
        <item x="659"/>
        <item x="526"/>
        <item x="611"/>
        <item x="696"/>
        <item x="45"/>
        <item x="676"/>
        <item x="784"/>
        <item x="965"/>
        <item x="757"/>
        <item x="798"/>
        <item x="689"/>
        <item x="329"/>
        <item x="734"/>
        <item x="258"/>
        <item x="187"/>
        <item x="51"/>
        <item x="461"/>
        <item x="514"/>
        <item x="550"/>
        <item x="201"/>
        <item x="302"/>
        <item x="326"/>
        <item x="507"/>
        <item x="937"/>
        <item x="368"/>
        <item x="819"/>
        <item x="755"/>
        <item x="31"/>
        <item x="387"/>
        <item x="799"/>
        <item x="628"/>
        <item x="107"/>
        <item x="682"/>
        <item x="295"/>
        <item x="886"/>
        <item x="217"/>
        <item x="27"/>
        <item x="397"/>
        <item x="454"/>
        <item x="552"/>
        <item x="512"/>
        <item x="483"/>
        <item x="694"/>
        <item x="665"/>
        <item x="845"/>
        <item x="16"/>
        <item x="219"/>
        <item x="643"/>
        <item x="226"/>
        <item x="599"/>
        <item x="103"/>
        <item x="166"/>
        <item x="334"/>
        <item x="638"/>
        <item x="968"/>
        <item x="162"/>
        <item x="601"/>
        <item x="121"/>
        <item x="197"/>
        <item x="375"/>
        <item x="680"/>
        <item x="925"/>
        <item x="224"/>
        <item x="566"/>
        <item x="653"/>
        <item x="200"/>
        <item x="83"/>
        <item x="312"/>
        <item x="620"/>
        <item x="865"/>
        <item x="592"/>
        <item x="619"/>
        <item x="840"/>
        <item x="321"/>
        <item x="725"/>
        <item x="472"/>
        <item x="88"/>
        <item x="551"/>
        <item x="135"/>
        <item x="439"/>
        <item x="943"/>
        <item x="434"/>
        <item x="60"/>
        <item x="296"/>
        <item x="367"/>
        <item x="863"/>
        <item x="276"/>
        <item x="598"/>
        <item x="532"/>
        <item x="591"/>
        <item x="363"/>
        <item x="603"/>
        <item x="753"/>
        <item x="933"/>
        <item x="880"/>
        <item x="55"/>
        <item x="232"/>
        <item x="478"/>
        <item x="516"/>
        <item x="958"/>
        <item x="440"/>
        <item x="356"/>
        <item x="382"/>
        <item x="495"/>
        <item x="216"/>
        <item x="377"/>
        <item x="474"/>
        <item x="394"/>
        <item x="615"/>
        <item x="891"/>
        <item x="496"/>
        <item x="538"/>
        <item x="29"/>
        <item x="987"/>
        <item x="769"/>
        <item x="874"/>
        <item x="48"/>
        <item x="314"/>
        <item x="371"/>
        <item x="736"/>
        <item x="679"/>
        <item x="239"/>
        <item x="499"/>
        <item x="444"/>
        <item x="11"/>
        <item x="148"/>
        <item x="403"/>
        <item x="414"/>
        <item x="735"/>
        <item x="374"/>
        <item x="528"/>
        <item x="41"/>
        <item x="973"/>
        <item x="887"/>
        <item x="259"/>
        <item x="129"/>
        <item x="416"/>
        <item x="38"/>
        <item x="253"/>
        <item x="848"/>
        <item x="501"/>
        <item x="155"/>
        <item x="710"/>
        <item x="980"/>
        <item x="911"/>
        <item x="125"/>
        <item x="64"/>
        <item x="205"/>
        <item x="658"/>
        <item x="238"/>
        <item x="97"/>
        <item x="442"/>
        <item x="802"/>
        <item x="882"/>
        <item x="949"/>
        <item x="14"/>
        <item x="642"/>
        <item x="904"/>
        <item x="0"/>
        <item x="811"/>
        <item x="157"/>
        <item x="471"/>
        <item x="723"/>
        <item x="612"/>
        <item x="972"/>
        <item x="447"/>
        <item x="487"/>
        <item x="459"/>
        <item x="678"/>
        <item x="56"/>
        <item x="646"/>
        <item x="169"/>
        <item x="982"/>
        <item x="839"/>
        <item x="152"/>
        <item x="790"/>
        <item x="782"/>
        <item x="900"/>
        <item x="176"/>
        <item x="581"/>
        <item x="44"/>
        <item x="523"/>
        <item x="143"/>
        <item x="851"/>
        <item x="283"/>
        <item x="726"/>
        <item x="738"/>
        <item x="476"/>
        <item x="463"/>
        <item x="475"/>
        <item x="955"/>
        <item x="417"/>
        <item x="315"/>
        <item x="171"/>
        <item x="568"/>
        <item x="408"/>
        <item x="109"/>
        <item x="320"/>
        <item x="648"/>
        <item x="870"/>
        <item x="797"/>
        <item x="451"/>
        <item x="629"/>
        <item x="614"/>
        <item x="758"/>
        <item x="360"/>
        <item x="868"/>
        <item x="425"/>
        <item x="421"/>
        <item x="46"/>
        <item x="559"/>
        <item x="74"/>
        <item x="327"/>
        <item x="940"/>
        <item x="410"/>
        <item x="633"/>
        <item x="639"/>
        <item x="54"/>
        <item x="947"/>
        <item x="605"/>
        <item x="684"/>
        <item x="649"/>
        <item x="540"/>
        <item x="10"/>
        <item x="413"/>
        <item x="917"/>
        <item x="831"/>
        <item x="128"/>
        <item x="712"/>
        <item x="709"/>
        <item x="849"/>
        <item x="149"/>
        <item x="412"/>
        <item x="422"/>
        <item x="690"/>
        <item x="803"/>
        <item x="402"/>
        <item x="830"/>
        <item x="976"/>
        <item x="791"/>
        <item x="871"/>
        <item x="843"/>
        <item x="922"/>
        <item x="827"/>
        <item x="245"/>
        <item x="450"/>
        <item x="328"/>
        <item x="76"/>
        <item x="73"/>
        <item x="127"/>
        <item x="194"/>
        <item x="618"/>
        <item x="344"/>
        <item x="548"/>
        <item x="256"/>
        <item t="default"/>
      </items>
    </pivotField>
    <pivotField showAll="0"/>
    <pivotField dataField="1" numFmtId="165" showAll="0">
      <items count="988">
        <item x="49"/>
        <item x="509"/>
        <item x="417"/>
        <item x="591"/>
        <item x="944"/>
        <item x="401"/>
        <item x="86"/>
        <item x="257"/>
        <item x="694"/>
        <item x="277"/>
        <item x="225"/>
        <item x="260"/>
        <item x="645"/>
        <item x="300"/>
        <item x="829"/>
        <item x="439"/>
        <item x="578"/>
        <item x="533"/>
        <item x="402"/>
        <item x="434"/>
        <item x="553"/>
        <item x="968"/>
        <item x="31"/>
        <item x="256"/>
        <item x="409"/>
        <item x="967"/>
        <item x="422"/>
        <item x="924"/>
        <item x="102"/>
        <item x="37"/>
        <item x="515"/>
        <item x="819"/>
        <item x="617"/>
        <item x="451"/>
        <item x="648"/>
        <item x="213"/>
        <item x="396"/>
        <item x="812"/>
        <item x="688"/>
        <item x="722"/>
        <item x="797"/>
        <item x="573"/>
        <item x="394"/>
        <item x="632"/>
        <item x="596"/>
        <item x="378"/>
        <item x="666"/>
        <item x="372"/>
        <item x="704"/>
        <item x="801"/>
        <item x="784"/>
        <item x="625"/>
        <item x="122"/>
        <item x="745"/>
        <item x="619"/>
        <item x="532"/>
        <item x="47"/>
        <item x="479"/>
        <item x="66"/>
        <item x="733"/>
        <item x="705"/>
        <item x="975"/>
        <item x="768"/>
        <item x="894"/>
        <item x="521"/>
        <item x="471"/>
        <item x="435"/>
        <item x="274"/>
        <item x="908"/>
        <item x="807"/>
        <item x="158"/>
        <item x="419"/>
        <item x="202"/>
        <item x="723"/>
        <item x="230"/>
        <item x="279"/>
        <item x="783"/>
        <item x="195"/>
        <item x="454"/>
        <item x="475"/>
        <item x="364"/>
        <item x="884"/>
        <item x="203"/>
        <item x="355"/>
        <item x="130"/>
        <item x="755"/>
        <item x="626"/>
        <item x="563"/>
        <item x="331"/>
        <item x="969"/>
        <item x="23"/>
        <item x="56"/>
        <item x="953"/>
        <item x="321"/>
        <item x="556"/>
        <item x="589"/>
        <item x="790"/>
        <item x="463"/>
        <item x="369"/>
        <item x="906"/>
        <item x="512"/>
        <item x="531"/>
        <item x="845"/>
        <item x="680"/>
        <item x="40"/>
        <item x="739"/>
        <item x="827"/>
        <item x="945"/>
        <item x="26"/>
        <item x="653"/>
        <item x="126"/>
        <item x="557"/>
        <item x="528"/>
        <item x="637"/>
        <item x="320"/>
        <item x="972"/>
        <item x="753"/>
        <item x="157"/>
        <item x="115"/>
        <item x="5"/>
        <item x="57"/>
        <item x="684"/>
        <item x="612"/>
        <item x="580"/>
        <item x="165"/>
        <item x="510"/>
        <item x="543"/>
        <item x="946"/>
        <item x="873"/>
        <item x="80"/>
        <item x="780"/>
        <item x="621"/>
        <item x="881"/>
        <item x="88"/>
        <item x="233"/>
        <item x="153"/>
        <item x="547"/>
        <item x="2"/>
        <item x="485"/>
        <item x="474"/>
        <item x="193"/>
        <item x="333"/>
        <item x="674"/>
        <item x="210"/>
        <item x="339"/>
        <item x="513"/>
        <item x="561"/>
        <item x="117"/>
        <item x="732"/>
        <item x="830"/>
        <item x="141"/>
        <item x="315"/>
        <item x="15"/>
        <item x="918"/>
        <item x="119"/>
        <item x="222"/>
        <item x="161"/>
        <item x="792"/>
        <item x="769"/>
        <item x="629"/>
        <item x="949"/>
        <item x="846"/>
        <item x="661"/>
        <item x="456"/>
        <item x="898"/>
        <item x="77"/>
        <item x="272"/>
        <item x="484"/>
        <item x="842"/>
        <item x="861"/>
        <item x="418"/>
        <item x="190"/>
        <item x="606"/>
        <item x="330"/>
        <item x="235"/>
        <item x="730"/>
        <item x="384"/>
        <item x="656"/>
        <item x="420"/>
        <item x="20"/>
        <item x="469"/>
        <item x="985"/>
        <item x="848"/>
        <item x="332"/>
        <item x="588"/>
        <item x="976"/>
        <item x="97"/>
        <item x="737"/>
        <item x="281"/>
        <item x="542"/>
        <item x="764"/>
        <item x="624"/>
        <item x="641"/>
        <item x="346"/>
        <item x="142"/>
        <item x="413"/>
        <item x="214"/>
        <item x="81"/>
        <item x="642"/>
        <item x="811"/>
        <item x="663"/>
        <item x="984"/>
        <item x="647"/>
        <item x="879"/>
        <item x="197"/>
        <item x="495"/>
        <item x="357"/>
        <item x="99"/>
        <item x="525"/>
        <item x="959"/>
        <item x="192"/>
        <item x="549"/>
        <item x="441"/>
        <item x="938"/>
        <item x="391"/>
        <item x="523"/>
        <item x="748"/>
        <item x="169"/>
        <item x="728"/>
        <item x="646"/>
        <item x="964"/>
        <item x="875"/>
        <item x="796"/>
        <item x="708"/>
        <item x="678"/>
        <item x="296"/>
        <item x="14"/>
        <item x="32"/>
        <item x="4"/>
        <item x="7"/>
        <item x="877"/>
        <item x="376"/>
        <item x="205"/>
        <item x="910"/>
        <item x="522"/>
        <item x="948"/>
        <item x="607"/>
        <item x="373"/>
        <item x="108"/>
        <item x="702"/>
        <item x="493"/>
        <item x="120"/>
        <item x="262"/>
        <item x="470"/>
        <item x="491"/>
        <item x="287"/>
        <item x="134"/>
        <item x="558"/>
        <item x="194"/>
        <item x="866"/>
        <item x="956"/>
        <item x="344"/>
        <item x="640"/>
        <item x="567"/>
        <item x="719"/>
        <item x="486"/>
        <item x="671"/>
        <item x="218"/>
        <item x="947"/>
        <item x="340"/>
        <item x="654"/>
        <item x="354"/>
        <item x="616"/>
        <item x="437"/>
        <item x="657"/>
        <item x="219"/>
        <item x="915"/>
        <item x="473"/>
        <item x="243"/>
        <item x="136"/>
        <item x="756"/>
        <item x="914"/>
        <item x="446"/>
        <item x="371"/>
        <item x="603"/>
        <item x="167"/>
        <item x="757"/>
        <item x="350"/>
        <item x="840"/>
        <item x="58"/>
        <item x="399"/>
        <item x="858"/>
        <item x="43"/>
        <item x="429"/>
        <item x="773"/>
        <item x="785"/>
        <item x="53"/>
        <item x="421"/>
        <item x="335"/>
        <item x="301"/>
        <item x="239"/>
        <item x="338"/>
        <item x="328"/>
        <item x="453"/>
        <item x="552"/>
        <item x="917"/>
        <item x="21"/>
        <item x="681"/>
        <item x="341"/>
        <item x="853"/>
        <item x="365"/>
        <item x="400"/>
        <item x="227"/>
        <item x="226"/>
        <item x="696"/>
        <item x="934"/>
        <item x="236"/>
        <item x="789"/>
        <item x="566"/>
        <item x="273"/>
        <item x="660"/>
        <item x="855"/>
        <item x="693"/>
        <item x="800"/>
        <item x="318"/>
        <item x="61"/>
        <item x="741"/>
        <item x="398"/>
        <item x="804"/>
        <item x="779"/>
        <item x="770"/>
        <item x="48"/>
        <item x="581"/>
        <item x="841"/>
        <item x="36"/>
        <item x="390"/>
        <item x="200"/>
        <item x="546"/>
        <item x="41"/>
        <item x="69"/>
        <item x="415"/>
        <item x="899"/>
        <item x="519"/>
        <item x="498"/>
        <item x="425"/>
        <item x="322"/>
        <item x="228"/>
        <item x="143"/>
        <item x="198"/>
        <item x="852"/>
        <item x="64"/>
        <item x="943"/>
        <item x="576"/>
        <item x="940"/>
        <item x="116"/>
        <item x="450"/>
        <item x="583"/>
        <item x="68"/>
        <item x="163"/>
        <item x="251"/>
        <item x="464"/>
        <item x="772"/>
        <item x="889"/>
        <item x="171"/>
        <item x="726"/>
        <item x="342"/>
        <item x="187"/>
        <item x="299"/>
        <item x="293"/>
        <item x="380"/>
        <item x="397"/>
        <item x="628"/>
        <item x="443"/>
        <item x="345"/>
        <item x="336"/>
        <item x="360"/>
        <item x="188"/>
        <item x="423"/>
        <item x="35"/>
        <item x="814"/>
        <item x="149"/>
        <item x="387"/>
        <item x="269"/>
        <item x="151"/>
        <item x="135"/>
        <item x="919"/>
        <item x="562"/>
        <item x="904"/>
        <item x="703"/>
        <item x="312"/>
        <item x="216"/>
        <item x="765"/>
        <item x="839"/>
        <item x="156"/>
        <item x="206"/>
        <item x="516"/>
        <item x="238"/>
        <item x="627"/>
        <item x="285"/>
        <item x="936"/>
        <item x="382"/>
        <item x="595"/>
        <item x="895"/>
        <item x="788"/>
        <item x="381"/>
        <item x="63"/>
        <item x="305"/>
        <item x="958"/>
        <item x="442"/>
        <item x="823"/>
        <item x="352"/>
        <item x="610"/>
        <item x="816"/>
        <item x="690"/>
        <item x="539"/>
        <item x="826"/>
        <item x="611"/>
        <item x="452"/>
        <item x="820"/>
        <item x="782"/>
        <item x="313"/>
        <item x="652"/>
        <item x="42"/>
        <item x="25"/>
        <item x="84"/>
        <item x="928"/>
        <item x="623"/>
        <item x="639"/>
        <item x="540"/>
        <item x="24"/>
        <item x="46"/>
        <item x="695"/>
        <item x="545"/>
        <item x="955"/>
        <item x="727"/>
        <item x="536"/>
        <item x="630"/>
        <item x="294"/>
        <item x="713"/>
        <item x="170"/>
        <item x="725"/>
        <item x="458"/>
        <item x="70"/>
        <item x="28"/>
        <item x="921"/>
        <item x="977"/>
        <item x="520"/>
        <item x="582"/>
        <item x="701"/>
        <item x="189"/>
        <item x="255"/>
        <item x="448"/>
        <item x="747"/>
        <item x="132"/>
        <item x="317"/>
        <item x="121"/>
        <item x="574"/>
        <item x="724"/>
        <item x="729"/>
        <item x="403"/>
        <item x="876"/>
        <item x="751"/>
        <item x="159"/>
        <item x="289"/>
        <item x="665"/>
        <item x="478"/>
        <item x="749"/>
        <item x="185"/>
        <item x="3"/>
        <item x="65"/>
        <item x="622"/>
        <item x="920"/>
        <item x="488"/>
        <item x="288"/>
        <item x="266"/>
        <item x="575"/>
        <item x="298"/>
        <item x="74"/>
        <item x="343"/>
        <item x="379"/>
        <item x="231"/>
        <item x="942"/>
        <item x="278"/>
        <item x="897"/>
        <item x="211"/>
        <item x="407"/>
        <item x="263"/>
        <item x="196"/>
        <item x="481"/>
        <item x="385"/>
        <item x="410"/>
        <item x="550"/>
        <item x="304"/>
        <item x="503"/>
        <item x="177"/>
        <item x="957"/>
        <item x="311"/>
        <item x="650"/>
        <item x="538"/>
        <item x="712"/>
        <item x="636"/>
        <item x="937"/>
        <item x="868"/>
        <item x="275"/>
        <item x="950"/>
        <item x="673"/>
        <item x="687"/>
        <item x="798"/>
        <item x="334"/>
        <item x="851"/>
        <item x="828"/>
        <item x="109"/>
        <item x="880"/>
        <item x="787"/>
        <item x="980"/>
        <item x="518"/>
        <item x="810"/>
        <item x="125"/>
        <item x="181"/>
        <item x="677"/>
        <item x="232"/>
        <item x="692"/>
        <item x="886"/>
        <item x="887"/>
        <item x="864"/>
        <item x="138"/>
        <item x="862"/>
        <item x="710"/>
        <item x="508"/>
        <item x="570"/>
        <item x="455"/>
        <item x="818"/>
        <item x="444"/>
        <item x="89"/>
        <item x="186"/>
        <item x="292"/>
        <item x="507"/>
        <item x="559"/>
        <item x="551"/>
        <item x="709"/>
        <item x="309"/>
        <item x="761"/>
        <item x="472"/>
        <item x="351"/>
        <item x="377"/>
        <item x="363"/>
        <item x="775"/>
        <item x="22"/>
        <item x="144"/>
        <item x="717"/>
        <item x="51"/>
        <item x="604"/>
        <item x="438"/>
        <item x="824"/>
        <item x="504"/>
        <item x="655"/>
        <item x="774"/>
        <item x="731"/>
        <item x="50"/>
        <item x="201"/>
        <item x="608"/>
        <item x="856"/>
        <item x="605"/>
        <item x="326"/>
        <item x="76"/>
        <item x="781"/>
        <item x="599"/>
        <item x="658"/>
        <item x="500"/>
        <item x="767"/>
        <item x="711"/>
        <item x="252"/>
        <item x="720"/>
        <item x="872"/>
        <item x="105"/>
        <item x="286"/>
        <item x="460"/>
        <item x="16"/>
        <item x="426"/>
        <item x="93"/>
        <item x="347"/>
        <item x="240"/>
        <item x="965"/>
        <item x="92"/>
        <item x="954"/>
        <item x="613"/>
        <item x="644"/>
        <item x="638"/>
        <item x="234"/>
        <item x="416"/>
        <item x="280"/>
        <item x="966"/>
        <item x="490"/>
        <item x="620"/>
        <item x="137"/>
        <item x="480"/>
        <item x="544"/>
        <item x="323"/>
        <item x="73"/>
        <item x="715"/>
        <item x="94"/>
        <item x="597"/>
        <item x="411"/>
        <item x="247"/>
        <item x="805"/>
        <item x="821"/>
        <item x="837"/>
        <item x="337"/>
        <item x="268"/>
        <item x="414"/>
        <item x="71"/>
        <item x="314"/>
        <item x="831"/>
        <item x="487"/>
        <item x="633"/>
        <item x="614"/>
        <item x="974"/>
        <item x="9"/>
        <item x="184"/>
        <item x="670"/>
        <item x="267"/>
        <item x="750"/>
        <item x="348"/>
        <item x="13"/>
        <item x="302"/>
        <item x="150"/>
        <item x="477"/>
        <item x="329"/>
        <item x="529"/>
        <item x="882"/>
        <item x="140"/>
        <item x="806"/>
        <item x="248"/>
        <item x="524"/>
        <item x="44"/>
        <item x="237"/>
        <item x="276"/>
        <item x="584"/>
        <item x="139"/>
        <item x="359"/>
        <item x="221"/>
        <item x="758"/>
        <item x="223"/>
        <item x="297"/>
        <item x="316"/>
        <item x="204"/>
        <item x="246"/>
        <item x="178"/>
        <item x="548"/>
        <item x="859"/>
        <item x="324"/>
        <item x="909"/>
        <item x="284"/>
        <item x="87"/>
        <item x="865"/>
        <item x="511"/>
        <item x="952"/>
        <item x="535"/>
        <item x="571"/>
        <item x="374"/>
        <item x="54"/>
        <item x="891"/>
        <item x="264"/>
        <item x="849"/>
        <item x="90"/>
        <item x="483"/>
        <item x="791"/>
        <item x="166"/>
        <item x="10"/>
        <item x="499"/>
        <item x="427"/>
        <item x="39"/>
        <item x="91"/>
        <item x="432"/>
        <item x="679"/>
        <item x="295"/>
        <item x="258"/>
        <item x="560"/>
        <item x="180"/>
        <item x="406"/>
        <item x="283"/>
        <item x="912"/>
        <item x="793"/>
        <item x="259"/>
        <item x="96"/>
        <item x="103"/>
        <item x="913"/>
        <item x="698"/>
        <item x="752"/>
        <item x="11"/>
        <item x="676"/>
        <item x="736"/>
        <item x="631"/>
        <item x="635"/>
        <item x="885"/>
        <item x="893"/>
        <item x="110"/>
        <item x="461"/>
        <item x="813"/>
        <item x="30"/>
        <item x="118"/>
        <item x="970"/>
        <item x="609"/>
        <item x="361"/>
        <item x="982"/>
        <item x="931"/>
        <item x="370"/>
        <item x="896"/>
        <item x="878"/>
        <item x="526"/>
        <item x="927"/>
        <item x="577"/>
        <item x="683"/>
        <item x="215"/>
        <item x="245"/>
        <item x="428"/>
        <item x="836"/>
        <item x="447"/>
        <item x="12"/>
        <item x="290"/>
        <item x="939"/>
        <item x="229"/>
        <item x="907"/>
        <item x="224"/>
        <item x="82"/>
        <item x="766"/>
        <item x="983"/>
        <item x="963"/>
        <item x="106"/>
        <item x="191"/>
        <item x="900"/>
        <item x="164"/>
        <item x="79"/>
        <item x="249"/>
        <item x="738"/>
        <item x="112"/>
        <item x="319"/>
        <item x="389"/>
        <item x="176"/>
        <item x="935"/>
        <item x="541"/>
        <item x="686"/>
        <item x="743"/>
        <item x="27"/>
        <item x="436"/>
        <item x="124"/>
        <item x="114"/>
        <item x="303"/>
        <item x="744"/>
        <item x="62"/>
        <item x="735"/>
        <item x="517"/>
        <item x="847"/>
        <item x="244"/>
        <item x="922"/>
        <item x="699"/>
        <item x="925"/>
        <item x="685"/>
        <item x="961"/>
        <item x="960"/>
        <item x="506"/>
        <item x="707"/>
        <item x="459"/>
        <item x="145"/>
        <item x="476"/>
        <item x="795"/>
        <item x="901"/>
        <item x="395"/>
        <item x="809"/>
        <item x="777"/>
        <item x="505"/>
        <item x="675"/>
        <item x="834"/>
        <item x="127"/>
        <item x="55"/>
        <item x="572"/>
        <item x="412"/>
        <item x="594"/>
        <item x="778"/>
        <item x="854"/>
        <item x="392"/>
        <item x="356"/>
        <item x="986"/>
        <item x="973"/>
        <item x="863"/>
        <item x="706"/>
        <item x="664"/>
        <item x="808"/>
        <item x="971"/>
        <item x="375"/>
        <item x="67"/>
        <item x="462"/>
        <item x="468"/>
        <item x="101"/>
        <item x="502"/>
        <item x="449"/>
        <item x="799"/>
        <item x="386"/>
        <item x="492"/>
        <item x="883"/>
        <item x="979"/>
        <item x="667"/>
        <item x="716"/>
        <item x="261"/>
        <item x="405"/>
        <item x="835"/>
        <item x="52"/>
        <item x="368"/>
        <item x="45"/>
        <item x="75"/>
        <item x="776"/>
        <item x="440"/>
        <item x="265"/>
        <item x="714"/>
        <item x="29"/>
        <item x="100"/>
        <item x="923"/>
        <item x="803"/>
        <item x="870"/>
        <item x="850"/>
        <item x="905"/>
        <item x="565"/>
        <item x="349"/>
        <item x="815"/>
        <item x="60"/>
        <item x="182"/>
        <item x="207"/>
        <item x="307"/>
        <item x="514"/>
        <item x="649"/>
        <item x="586"/>
        <item x="530"/>
        <item x="691"/>
        <item x="754"/>
        <item x="212"/>
        <item x="306"/>
        <item x="933"/>
        <item x="759"/>
        <item x="833"/>
        <item x="34"/>
        <item x="497"/>
        <item x="822"/>
        <item x="38"/>
        <item x="587"/>
        <item x="404"/>
        <item x="208"/>
        <item x="554"/>
        <item x="465"/>
        <item x="760"/>
        <item x="173"/>
        <item x="18"/>
        <item x="146"/>
        <item x="147"/>
        <item x="494"/>
        <item x="366"/>
        <item x="131"/>
        <item x="978"/>
        <item x="763"/>
        <item x="951"/>
        <item x="308"/>
        <item x="555"/>
        <item x="128"/>
        <item x="585"/>
        <item x="634"/>
        <item x="817"/>
        <item x="926"/>
        <item x="669"/>
        <item x="325"/>
        <item x="902"/>
        <item x="310"/>
        <item x="590"/>
        <item x="433"/>
        <item x="113"/>
        <item x="689"/>
        <item x="241"/>
        <item x="123"/>
        <item x="746"/>
        <item x="802"/>
        <item x="600"/>
        <item x="838"/>
        <item x="152"/>
        <item x="496"/>
        <item x="179"/>
        <item x="932"/>
        <item x="270"/>
        <item x="762"/>
        <item x="424"/>
        <item x="721"/>
        <item x="794"/>
        <item x="430"/>
        <item x="0"/>
        <item x="867"/>
        <item x="860"/>
        <item x="129"/>
        <item x="431"/>
        <item x="568"/>
        <item x="825"/>
        <item x="929"/>
        <item x="598"/>
        <item x="601"/>
        <item x="104"/>
        <item x="981"/>
        <item x="718"/>
        <item x="78"/>
        <item x="107"/>
        <item x="916"/>
        <item x="254"/>
        <item x="843"/>
        <item x="527"/>
        <item x="72"/>
        <item x="467"/>
        <item x="771"/>
        <item x="593"/>
        <item x="358"/>
        <item x="83"/>
        <item x="17"/>
        <item x="174"/>
        <item x="95"/>
        <item x="383"/>
        <item x="888"/>
        <item x="367"/>
        <item x="250"/>
        <item x="8"/>
        <item x="537"/>
        <item x="903"/>
        <item x="615"/>
        <item x="700"/>
        <item x="602"/>
        <item x="199"/>
        <item x="734"/>
        <item x="874"/>
        <item x="892"/>
        <item x="160"/>
        <item x="941"/>
        <item x="569"/>
        <item x="271"/>
        <item x="85"/>
        <item x="175"/>
        <item x="579"/>
        <item x="220"/>
        <item x="242"/>
        <item x="291"/>
        <item x="209"/>
        <item x="253"/>
        <item x="168"/>
        <item x="388"/>
        <item x="183"/>
        <item x="786"/>
        <item x="362"/>
        <item x="111"/>
        <item x="740"/>
        <item x="445"/>
        <item x="33"/>
        <item x="651"/>
        <item x="962"/>
        <item x="327"/>
        <item x="857"/>
        <item x="911"/>
        <item x="534"/>
        <item x="501"/>
        <item x="19"/>
        <item x="643"/>
        <item x="457"/>
        <item x="162"/>
        <item x="618"/>
        <item x="59"/>
        <item x="592"/>
        <item x="844"/>
        <item x="6"/>
        <item x="155"/>
        <item x="659"/>
        <item x="489"/>
        <item x="1"/>
        <item x="282"/>
        <item x="682"/>
        <item x="564"/>
        <item x="869"/>
        <item x="466"/>
        <item x="672"/>
        <item x="890"/>
        <item x="148"/>
        <item x="154"/>
        <item x="393"/>
        <item x="742"/>
        <item x="930"/>
        <item x="217"/>
        <item x="133"/>
        <item x="662"/>
        <item x="172"/>
        <item x="668"/>
        <item x="482"/>
        <item x="832"/>
        <item x="871"/>
        <item x="353"/>
        <item x="98"/>
        <item x="408"/>
        <item x="697"/>
        <item t="default"/>
      </items>
    </pivotField>
    <pivotField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6">
    <i>
      <x v="376"/>
    </i>
    <i>
      <x v="587"/>
    </i>
    <i>
      <x v="625"/>
    </i>
    <i>
      <x v="659"/>
    </i>
    <i>
      <x v="671"/>
    </i>
    <i t="grand">
      <x/>
    </i>
  </rowItems>
  <colItems count="1">
    <i/>
  </colItems>
  <dataFields count="1">
    <dataField name="Sum of Revenue in numbers" fld="11" baseField="0" baseItem="0" numFmtId="165"/>
  </dataFields>
  <chartFormats count="1">
    <chartFormat chart="1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EBB6A5-CDF3-4EAB-A979-1AA77BB0E54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3:G19" firstHeaderRow="1" firstDataRow="1" firstDataCol="1"/>
  <pivotFields count="17">
    <pivotField axis="axisRow" showAll="0">
      <items count="6">
        <item x="3"/>
        <item x="0"/>
        <item x="2"/>
        <item x="4"/>
        <item x="1"/>
        <item t="default"/>
      </items>
    </pivotField>
    <pivotField showAll="0"/>
    <pivotField showAll="0"/>
    <pivotField showAll="0"/>
    <pivotField showAll="0"/>
    <pivotField numFmtId="166" showAll="0"/>
    <pivotField showAll="0"/>
    <pivotField numFmtId="14" showAll="0">
      <items count="343">
        <item x="73"/>
        <item x="171"/>
        <item x="315"/>
        <item x="240"/>
        <item x="264"/>
        <item x="218"/>
        <item x="137"/>
        <item x="118"/>
        <item x="257"/>
        <item x="276"/>
        <item x="1"/>
        <item x="170"/>
        <item x="127"/>
        <item x="328"/>
        <item x="117"/>
        <item x="4"/>
        <item x="326"/>
        <item x="203"/>
        <item x="233"/>
        <item x="311"/>
        <item x="136"/>
        <item x="11"/>
        <item x="277"/>
        <item x="47"/>
        <item x="15"/>
        <item x="325"/>
        <item x="265"/>
        <item x="246"/>
        <item x="133"/>
        <item x="84"/>
        <item x="163"/>
        <item x="245"/>
        <item x="131"/>
        <item x="125"/>
        <item x="314"/>
        <item x="339"/>
        <item x="22"/>
        <item x="305"/>
        <item x="38"/>
        <item x="330"/>
        <item x="272"/>
        <item x="186"/>
        <item x="160"/>
        <item x="181"/>
        <item x="39"/>
        <item x="215"/>
        <item x="55"/>
        <item x="111"/>
        <item x="86"/>
        <item x="268"/>
        <item x="280"/>
        <item x="327"/>
        <item x="41"/>
        <item x="231"/>
        <item x="71"/>
        <item x="148"/>
        <item x="291"/>
        <item x="140"/>
        <item x="262"/>
        <item x="220"/>
        <item x="53"/>
        <item x="154"/>
        <item x="165"/>
        <item x="37"/>
        <item x="224"/>
        <item x="212"/>
        <item x="153"/>
        <item x="90"/>
        <item x="87"/>
        <item x="267"/>
        <item x="112"/>
        <item x="134"/>
        <item x="255"/>
        <item x="29"/>
        <item x="234"/>
        <item x="235"/>
        <item x="260"/>
        <item x="283"/>
        <item x="199"/>
        <item x="93"/>
        <item x="289"/>
        <item x="109"/>
        <item x="104"/>
        <item x="205"/>
        <item x="91"/>
        <item x="157"/>
        <item x="196"/>
        <item x="285"/>
        <item x="172"/>
        <item x="222"/>
        <item x="40"/>
        <item x="274"/>
        <item x="132"/>
        <item x="114"/>
        <item x="82"/>
        <item x="241"/>
        <item x="174"/>
        <item x="43"/>
        <item x="10"/>
        <item x="273"/>
        <item x="155"/>
        <item x="184"/>
        <item x="49"/>
        <item x="51"/>
        <item x="7"/>
        <item x="335"/>
        <item x="250"/>
        <item x="65"/>
        <item x="292"/>
        <item x="60"/>
        <item x="239"/>
        <item x="164"/>
        <item x="142"/>
        <item x="236"/>
        <item x="177"/>
        <item x="76"/>
        <item x="202"/>
        <item x="70"/>
        <item x="59"/>
        <item x="147"/>
        <item x="101"/>
        <item x="13"/>
        <item x="25"/>
        <item x="5"/>
        <item x="99"/>
        <item x="50"/>
        <item x="217"/>
        <item x="26"/>
        <item x="294"/>
        <item x="138"/>
        <item x="119"/>
        <item x="80"/>
        <item x="167"/>
        <item x="194"/>
        <item x="256"/>
        <item x="120"/>
        <item x="275"/>
        <item x="270"/>
        <item x="211"/>
        <item x="62"/>
        <item x="98"/>
        <item x="169"/>
        <item x="271"/>
        <item x="46"/>
        <item x="178"/>
        <item x="287"/>
        <item x="6"/>
        <item x="251"/>
        <item x="57"/>
        <item x="228"/>
        <item x="331"/>
        <item x="33"/>
        <item x="207"/>
        <item x="162"/>
        <item x="34"/>
        <item x="19"/>
        <item x="110"/>
        <item x="139"/>
        <item x="159"/>
        <item x="17"/>
        <item x="115"/>
        <item x="237"/>
        <item x="156"/>
        <item x="333"/>
        <item x="168"/>
        <item x="337"/>
        <item x="185"/>
        <item x="179"/>
        <item x="24"/>
        <item x="298"/>
        <item x="18"/>
        <item x="253"/>
        <item x="189"/>
        <item x="295"/>
        <item x="36"/>
        <item x="149"/>
        <item x="95"/>
        <item x="204"/>
        <item x="54"/>
        <item x="45"/>
        <item x="323"/>
        <item x="102"/>
        <item x="0"/>
        <item x="58"/>
        <item x="190"/>
        <item x="66"/>
        <item x="81"/>
        <item x="309"/>
        <item x="336"/>
        <item x="195"/>
        <item x="332"/>
        <item x="223"/>
        <item x="146"/>
        <item x="244"/>
        <item x="77"/>
        <item x="106"/>
        <item x="221"/>
        <item x="324"/>
        <item x="152"/>
        <item x="308"/>
        <item x="16"/>
        <item x="182"/>
        <item x="286"/>
        <item x="216"/>
        <item x="319"/>
        <item x="108"/>
        <item x="316"/>
        <item x="103"/>
        <item x="144"/>
        <item x="175"/>
        <item x="30"/>
        <item x="302"/>
        <item x="113"/>
        <item x="105"/>
        <item x="247"/>
        <item x="192"/>
        <item x="123"/>
        <item x="20"/>
        <item x="88"/>
        <item x="75"/>
        <item x="329"/>
        <item x="341"/>
        <item x="23"/>
        <item x="259"/>
        <item x="338"/>
        <item x="299"/>
        <item x="227"/>
        <item x="122"/>
        <item x="61"/>
        <item x="124"/>
        <item x="56"/>
        <item x="288"/>
        <item x="301"/>
        <item x="191"/>
        <item x="208"/>
        <item x="130"/>
        <item x="278"/>
        <item x="225"/>
        <item x="74"/>
        <item x="126"/>
        <item x="197"/>
        <item x="42"/>
        <item x="281"/>
        <item x="210"/>
        <item x="296"/>
        <item x="201"/>
        <item x="83"/>
        <item x="32"/>
        <item x="188"/>
        <item x="242"/>
        <item x="128"/>
        <item x="249"/>
        <item x="161"/>
        <item x="219"/>
        <item x="63"/>
        <item x="304"/>
        <item x="312"/>
        <item x="143"/>
        <item x="226"/>
        <item x="307"/>
        <item x="135"/>
        <item x="322"/>
        <item x="252"/>
        <item x="166"/>
        <item x="254"/>
        <item x="293"/>
        <item x="28"/>
        <item x="321"/>
        <item x="150"/>
        <item x="141"/>
        <item x="72"/>
        <item x="145"/>
        <item x="193"/>
        <item x="158"/>
        <item x="107"/>
        <item x="121"/>
        <item x="290"/>
        <item x="313"/>
        <item x="9"/>
        <item x="92"/>
        <item x="44"/>
        <item x="269"/>
        <item x="8"/>
        <item x="320"/>
        <item x="21"/>
        <item x="340"/>
        <item x="180"/>
        <item x="238"/>
        <item x="306"/>
        <item x="248"/>
        <item x="310"/>
        <item x="279"/>
        <item x="206"/>
        <item x="297"/>
        <item x="261"/>
        <item x="258"/>
        <item x="232"/>
        <item x="78"/>
        <item x="85"/>
        <item x="183"/>
        <item x="266"/>
        <item x="173"/>
        <item x="69"/>
        <item x="2"/>
        <item x="35"/>
        <item x="68"/>
        <item x="243"/>
        <item x="318"/>
        <item x="303"/>
        <item x="198"/>
        <item x="151"/>
        <item x="176"/>
        <item x="213"/>
        <item x="31"/>
        <item x="284"/>
        <item x="230"/>
        <item x="282"/>
        <item x="97"/>
        <item x="67"/>
        <item x="200"/>
        <item x="317"/>
        <item x="300"/>
        <item x="12"/>
        <item x="64"/>
        <item x="214"/>
        <item x="187"/>
        <item x="129"/>
        <item x="14"/>
        <item x="3"/>
        <item x="263"/>
        <item x="52"/>
        <item x="116"/>
        <item x="209"/>
        <item x="89"/>
        <item x="334"/>
        <item x="27"/>
        <item x="94"/>
        <item x="229"/>
        <item x="48"/>
        <item x="96"/>
        <item x="79"/>
        <item x="100"/>
        <item t="default"/>
      </items>
    </pivotField>
    <pivotField dataField="1" showAll="0">
      <items count="6">
        <item x="1"/>
        <item x="2"/>
        <item x="3"/>
        <item x="4"/>
        <item x="0"/>
        <item t="default"/>
      </items>
    </pivotField>
    <pivotField showAll="0"/>
    <pivotField showAll="0"/>
    <pivotField numFmtId="165" showAll="0"/>
    <pivotField numFmtId="165" showAll="0"/>
    <pivotField showAll="0"/>
    <pivotField showAll="0" defaultSubtotal="0"/>
    <pivotField showAll="0" defaultSubtotal="0"/>
    <pivotField showAll="0" defaultSubtotal="0">
      <items count="4">
        <item x="0"/>
        <item x="1"/>
        <item x="2"/>
        <item x="3"/>
      </items>
    </pivotField>
  </pivotFields>
  <rowFields count="1">
    <field x="0"/>
  </rowFields>
  <rowItems count="6">
    <i>
      <x/>
    </i>
    <i>
      <x v="1"/>
    </i>
    <i>
      <x v="2"/>
    </i>
    <i>
      <x v="3"/>
    </i>
    <i>
      <x v="4"/>
    </i>
    <i t="grand">
      <x/>
    </i>
  </rowItems>
  <colItems count="1">
    <i/>
  </colItems>
  <dataFields count="1">
    <dataField name="Count of Region"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7D9222E-27EC-4038-B9E2-280E381BFBA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C4:D10" firstHeaderRow="1" firstDataRow="1" firstDataCol="1"/>
  <pivotFields count="15">
    <pivotField showAll="0">
      <items count="6">
        <item x="3"/>
        <item x="0"/>
        <item x="2"/>
        <item x="4"/>
        <item x="1"/>
        <item t="default"/>
      </items>
    </pivotField>
    <pivotField showAll="0"/>
    <pivotField showAll="0"/>
    <pivotField showAll="0"/>
    <pivotField showAll="0"/>
    <pivotField numFmtId="166" showAll="0"/>
    <pivotField showAll="0"/>
    <pivotField numFmtId="14" showAll="0">
      <items count="343">
        <item x="73"/>
        <item x="171"/>
        <item x="315"/>
        <item x="240"/>
        <item x="264"/>
        <item x="218"/>
        <item x="137"/>
        <item x="118"/>
        <item x="257"/>
        <item x="276"/>
        <item x="1"/>
        <item x="170"/>
        <item x="127"/>
        <item x="328"/>
        <item x="117"/>
        <item x="4"/>
        <item x="326"/>
        <item x="203"/>
        <item x="233"/>
        <item x="311"/>
        <item x="136"/>
        <item x="11"/>
        <item x="277"/>
        <item x="47"/>
        <item x="15"/>
        <item x="325"/>
        <item x="265"/>
        <item x="246"/>
        <item x="133"/>
        <item x="84"/>
        <item x="163"/>
        <item x="245"/>
        <item x="131"/>
        <item x="125"/>
        <item x="314"/>
        <item x="339"/>
        <item x="22"/>
        <item x="305"/>
        <item x="38"/>
        <item x="330"/>
        <item x="272"/>
        <item x="186"/>
        <item x="160"/>
        <item x="181"/>
        <item x="39"/>
        <item x="215"/>
        <item x="55"/>
        <item x="111"/>
        <item x="86"/>
        <item x="268"/>
        <item x="280"/>
        <item x="327"/>
        <item x="41"/>
        <item x="231"/>
        <item x="71"/>
        <item x="148"/>
        <item x="291"/>
        <item x="140"/>
        <item x="262"/>
        <item x="220"/>
        <item x="53"/>
        <item x="154"/>
        <item x="165"/>
        <item x="37"/>
        <item x="224"/>
        <item x="212"/>
        <item x="153"/>
        <item x="90"/>
        <item x="87"/>
        <item x="267"/>
        <item x="112"/>
        <item x="134"/>
        <item x="255"/>
        <item x="29"/>
        <item x="234"/>
        <item x="235"/>
        <item x="260"/>
        <item x="283"/>
        <item x="199"/>
        <item x="93"/>
        <item x="289"/>
        <item x="109"/>
        <item x="104"/>
        <item x="205"/>
        <item x="91"/>
        <item x="157"/>
        <item x="196"/>
        <item x="285"/>
        <item x="172"/>
        <item x="222"/>
        <item x="40"/>
        <item x="274"/>
        <item x="132"/>
        <item x="114"/>
        <item x="82"/>
        <item x="241"/>
        <item x="174"/>
        <item x="43"/>
        <item x="10"/>
        <item x="273"/>
        <item x="155"/>
        <item x="184"/>
        <item x="49"/>
        <item x="51"/>
        <item x="7"/>
        <item x="335"/>
        <item x="250"/>
        <item x="65"/>
        <item x="292"/>
        <item x="60"/>
        <item x="239"/>
        <item x="164"/>
        <item x="142"/>
        <item x="236"/>
        <item x="177"/>
        <item x="76"/>
        <item x="202"/>
        <item x="70"/>
        <item x="59"/>
        <item x="147"/>
        <item x="101"/>
        <item x="13"/>
        <item x="25"/>
        <item x="5"/>
        <item x="99"/>
        <item x="50"/>
        <item x="217"/>
        <item x="26"/>
        <item x="294"/>
        <item x="138"/>
        <item x="119"/>
        <item x="80"/>
        <item x="167"/>
        <item x="194"/>
        <item x="256"/>
        <item x="120"/>
        <item x="275"/>
        <item x="270"/>
        <item x="211"/>
        <item x="62"/>
        <item x="98"/>
        <item x="169"/>
        <item x="271"/>
        <item x="46"/>
        <item x="178"/>
        <item x="287"/>
        <item x="6"/>
        <item x="251"/>
        <item x="57"/>
        <item x="228"/>
        <item x="331"/>
        <item x="33"/>
        <item x="207"/>
        <item x="162"/>
        <item x="34"/>
        <item x="19"/>
        <item x="110"/>
        <item x="139"/>
        <item x="159"/>
        <item x="17"/>
        <item x="115"/>
        <item x="237"/>
        <item x="156"/>
        <item x="333"/>
        <item x="168"/>
        <item x="337"/>
        <item x="185"/>
        <item x="179"/>
        <item x="24"/>
        <item x="298"/>
        <item x="18"/>
        <item x="253"/>
        <item x="189"/>
        <item x="295"/>
        <item x="36"/>
        <item x="149"/>
        <item x="95"/>
        <item x="204"/>
        <item x="54"/>
        <item x="45"/>
        <item x="323"/>
        <item x="102"/>
        <item x="0"/>
        <item x="58"/>
        <item x="190"/>
        <item x="66"/>
        <item x="81"/>
        <item x="309"/>
        <item x="336"/>
        <item x="195"/>
        <item x="332"/>
        <item x="223"/>
        <item x="146"/>
        <item x="244"/>
        <item x="77"/>
        <item x="106"/>
        <item x="221"/>
        <item x="324"/>
        <item x="152"/>
        <item x="308"/>
        <item x="16"/>
        <item x="182"/>
        <item x="286"/>
        <item x="216"/>
        <item x="319"/>
        <item x="108"/>
        <item x="316"/>
        <item x="103"/>
        <item x="144"/>
        <item x="175"/>
        <item x="30"/>
        <item x="302"/>
        <item x="113"/>
        <item x="105"/>
        <item x="247"/>
        <item x="192"/>
        <item x="123"/>
        <item x="20"/>
        <item x="88"/>
        <item x="75"/>
        <item x="329"/>
        <item x="341"/>
        <item x="23"/>
        <item x="259"/>
        <item x="338"/>
        <item x="299"/>
        <item x="227"/>
        <item x="122"/>
        <item x="61"/>
        <item x="124"/>
        <item x="56"/>
        <item x="288"/>
        <item x="301"/>
        <item x="191"/>
        <item x="208"/>
        <item x="130"/>
        <item x="278"/>
        <item x="225"/>
        <item x="74"/>
        <item x="126"/>
        <item x="197"/>
        <item x="42"/>
        <item x="281"/>
        <item x="210"/>
        <item x="296"/>
        <item x="201"/>
        <item x="83"/>
        <item x="32"/>
        <item x="188"/>
        <item x="242"/>
        <item x="128"/>
        <item x="249"/>
        <item x="161"/>
        <item x="219"/>
        <item x="63"/>
        <item x="304"/>
        <item x="312"/>
        <item x="143"/>
        <item x="226"/>
        <item x="307"/>
        <item x="135"/>
        <item x="322"/>
        <item x="252"/>
        <item x="166"/>
        <item x="254"/>
        <item x="293"/>
        <item x="28"/>
        <item x="321"/>
        <item x="150"/>
        <item x="141"/>
        <item x="72"/>
        <item x="145"/>
        <item x="193"/>
        <item x="158"/>
        <item x="107"/>
        <item x="121"/>
        <item x="290"/>
        <item x="313"/>
        <item x="9"/>
        <item x="92"/>
        <item x="44"/>
        <item x="269"/>
        <item x="8"/>
        <item x="320"/>
        <item x="21"/>
        <item x="340"/>
        <item x="180"/>
        <item x="238"/>
        <item x="306"/>
        <item x="248"/>
        <item x="310"/>
        <item x="279"/>
        <item x="206"/>
        <item x="297"/>
        <item x="261"/>
        <item x="258"/>
        <item x="232"/>
        <item x="78"/>
        <item x="85"/>
        <item x="183"/>
        <item x="266"/>
        <item x="173"/>
        <item x="69"/>
        <item x="2"/>
        <item x="35"/>
        <item x="68"/>
        <item x="243"/>
        <item x="318"/>
        <item x="303"/>
        <item x="198"/>
        <item x="151"/>
        <item x="176"/>
        <item x="213"/>
        <item x="31"/>
        <item x="284"/>
        <item x="230"/>
        <item x="282"/>
        <item x="97"/>
        <item x="67"/>
        <item x="200"/>
        <item x="317"/>
        <item x="300"/>
        <item x="12"/>
        <item x="64"/>
        <item x="214"/>
        <item x="187"/>
        <item x="129"/>
        <item x="14"/>
        <item x="3"/>
        <item x="263"/>
        <item x="52"/>
        <item x="116"/>
        <item x="209"/>
        <item x="89"/>
        <item x="334"/>
        <item x="27"/>
        <item x="94"/>
        <item x="229"/>
        <item x="48"/>
        <item x="96"/>
        <item x="79"/>
        <item x="100"/>
        <item t="default"/>
      </items>
    </pivotField>
    <pivotField axis="axisRow" showAll="0">
      <items count="6">
        <item x="1"/>
        <item x="2"/>
        <item x="3"/>
        <item x="4"/>
        <item x="0"/>
        <item t="default"/>
      </items>
    </pivotField>
    <pivotField showAll="0"/>
    <pivotField showAll="0"/>
    <pivotField dataField="1" numFmtId="165" showAll="0"/>
    <pivotField numFmtId="165" showAll="0"/>
    <pivotField showAll="0"/>
    <pivotField showAll="0"/>
  </pivotFields>
  <rowFields count="1">
    <field x="8"/>
  </rowFields>
  <rowItems count="6">
    <i>
      <x/>
    </i>
    <i>
      <x v="1"/>
    </i>
    <i>
      <x v="2"/>
    </i>
    <i>
      <x v="3"/>
    </i>
    <i>
      <x v="4"/>
    </i>
    <i t="grand">
      <x/>
    </i>
  </rowItems>
  <colItems count="1">
    <i/>
  </colItems>
  <dataFields count="1">
    <dataField name="Sum of Revenue in numbers" fld="11" baseField="0" baseItem="0" numFmtId="165"/>
  </dataField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9D23AB6-5F66-4277-A687-10C2CD7D511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13:D18" firstHeaderRow="1" firstDataRow="1" firstDataCol="1"/>
  <pivotFields count="17">
    <pivotField showAll="0"/>
    <pivotField showAll="0"/>
    <pivotField showAll="0"/>
    <pivotField showAll="0"/>
    <pivotField showAll="0"/>
    <pivotField numFmtId="166" showAll="0"/>
    <pivotField showAll="0"/>
    <pivotField axis="axisRow" numFmtId="14" showAll="0">
      <items count="343">
        <item x="73"/>
        <item x="171"/>
        <item x="315"/>
        <item x="240"/>
        <item x="264"/>
        <item x="218"/>
        <item x="137"/>
        <item x="118"/>
        <item x="257"/>
        <item x="276"/>
        <item x="1"/>
        <item x="170"/>
        <item x="127"/>
        <item x="328"/>
        <item x="117"/>
        <item x="4"/>
        <item x="326"/>
        <item x="203"/>
        <item x="233"/>
        <item x="311"/>
        <item x="136"/>
        <item x="11"/>
        <item x="277"/>
        <item x="47"/>
        <item x="15"/>
        <item x="325"/>
        <item x="265"/>
        <item x="246"/>
        <item x="133"/>
        <item x="84"/>
        <item x="163"/>
        <item x="245"/>
        <item x="131"/>
        <item x="125"/>
        <item x="314"/>
        <item x="339"/>
        <item x="22"/>
        <item x="305"/>
        <item x="38"/>
        <item x="330"/>
        <item x="272"/>
        <item x="186"/>
        <item x="160"/>
        <item x="181"/>
        <item x="39"/>
        <item x="215"/>
        <item x="55"/>
        <item x="111"/>
        <item x="86"/>
        <item x="268"/>
        <item x="280"/>
        <item x="327"/>
        <item x="41"/>
        <item x="231"/>
        <item x="71"/>
        <item x="148"/>
        <item x="291"/>
        <item x="140"/>
        <item x="262"/>
        <item x="220"/>
        <item x="53"/>
        <item x="154"/>
        <item x="165"/>
        <item x="37"/>
        <item x="224"/>
        <item x="212"/>
        <item x="153"/>
        <item x="90"/>
        <item x="87"/>
        <item x="267"/>
        <item x="112"/>
        <item x="134"/>
        <item x="255"/>
        <item x="29"/>
        <item x="234"/>
        <item x="235"/>
        <item x="260"/>
        <item x="283"/>
        <item x="199"/>
        <item x="93"/>
        <item x="289"/>
        <item x="109"/>
        <item x="104"/>
        <item x="205"/>
        <item x="91"/>
        <item x="157"/>
        <item x="196"/>
        <item x="285"/>
        <item x="172"/>
        <item x="222"/>
        <item x="40"/>
        <item x="274"/>
        <item x="132"/>
        <item x="114"/>
        <item x="82"/>
        <item x="241"/>
        <item x="174"/>
        <item x="43"/>
        <item x="10"/>
        <item x="273"/>
        <item x="155"/>
        <item x="184"/>
        <item x="49"/>
        <item x="51"/>
        <item x="7"/>
        <item x="335"/>
        <item x="250"/>
        <item x="65"/>
        <item x="292"/>
        <item x="60"/>
        <item x="239"/>
        <item x="164"/>
        <item x="142"/>
        <item x="236"/>
        <item x="177"/>
        <item x="76"/>
        <item x="202"/>
        <item x="70"/>
        <item x="59"/>
        <item x="147"/>
        <item x="101"/>
        <item x="13"/>
        <item x="25"/>
        <item x="5"/>
        <item x="99"/>
        <item x="50"/>
        <item x="217"/>
        <item x="26"/>
        <item x="294"/>
        <item x="138"/>
        <item x="119"/>
        <item x="80"/>
        <item x="167"/>
        <item x="194"/>
        <item x="256"/>
        <item x="120"/>
        <item x="275"/>
        <item x="270"/>
        <item x="211"/>
        <item x="62"/>
        <item x="98"/>
        <item x="169"/>
        <item x="271"/>
        <item x="46"/>
        <item x="178"/>
        <item x="287"/>
        <item x="6"/>
        <item x="251"/>
        <item x="57"/>
        <item x="228"/>
        <item x="331"/>
        <item x="33"/>
        <item x="207"/>
        <item x="162"/>
        <item x="34"/>
        <item x="19"/>
        <item x="110"/>
        <item x="139"/>
        <item x="159"/>
        <item x="17"/>
        <item x="115"/>
        <item x="237"/>
        <item x="156"/>
        <item x="333"/>
        <item x="168"/>
        <item x="337"/>
        <item x="185"/>
        <item x="179"/>
        <item x="24"/>
        <item x="298"/>
        <item x="18"/>
        <item x="253"/>
        <item x="189"/>
        <item x="295"/>
        <item x="36"/>
        <item x="149"/>
        <item x="95"/>
        <item x="204"/>
        <item x="54"/>
        <item x="45"/>
        <item x="323"/>
        <item x="102"/>
        <item x="0"/>
        <item x="58"/>
        <item x="190"/>
        <item x="66"/>
        <item x="81"/>
        <item x="309"/>
        <item x="336"/>
        <item x="195"/>
        <item x="332"/>
        <item x="223"/>
        <item x="146"/>
        <item x="244"/>
        <item x="77"/>
        <item x="106"/>
        <item x="221"/>
        <item x="324"/>
        <item x="152"/>
        <item x="308"/>
        <item x="16"/>
        <item x="182"/>
        <item x="286"/>
        <item x="216"/>
        <item x="319"/>
        <item x="108"/>
        <item x="316"/>
        <item x="103"/>
        <item x="144"/>
        <item x="175"/>
        <item x="30"/>
        <item x="302"/>
        <item x="113"/>
        <item x="105"/>
        <item x="247"/>
        <item x="192"/>
        <item x="123"/>
        <item x="20"/>
        <item x="88"/>
        <item x="75"/>
        <item x="329"/>
        <item x="341"/>
        <item x="23"/>
        <item x="259"/>
        <item x="338"/>
        <item x="299"/>
        <item x="227"/>
        <item x="122"/>
        <item x="61"/>
        <item x="124"/>
        <item x="56"/>
        <item x="288"/>
        <item x="301"/>
        <item x="191"/>
        <item x="208"/>
        <item x="130"/>
        <item x="278"/>
        <item x="225"/>
        <item x="74"/>
        <item x="126"/>
        <item x="197"/>
        <item x="42"/>
        <item x="281"/>
        <item x="210"/>
        <item x="296"/>
        <item x="201"/>
        <item x="83"/>
        <item x="32"/>
        <item x="188"/>
        <item x="242"/>
        <item x="128"/>
        <item x="249"/>
        <item x="161"/>
        <item x="219"/>
        <item x="63"/>
        <item x="304"/>
        <item x="312"/>
        <item x="143"/>
        <item x="226"/>
        <item x="307"/>
        <item x="135"/>
        <item x="322"/>
        <item x="252"/>
        <item x="166"/>
        <item x="254"/>
        <item x="293"/>
        <item x="28"/>
        <item x="321"/>
        <item x="150"/>
        <item x="141"/>
        <item x="72"/>
        <item x="145"/>
        <item x="193"/>
        <item x="158"/>
        <item x="107"/>
        <item x="121"/>
        <item x="290"/>
        <item x="313"/>
        <item x="9"/>
        <item x="92"/>
        <item x="44"/>
        <item x="269"/>
        <item x="8"/>
        <item x="320"/>
        <item x="21"/>
        <item x="340"/>
        <item x="180"/>
        <item x="238"/>
        <item x="306"/>
        <item x="248"/>
        <item x="310"/>
        <item x="279"/>
        <item x="206"/>
        <item x="297"/>
        <item x="261"/>
        <item x="258"/>
        <item x="232"/>
        <item x="78"/>
        <item x="85"/>
        <item x="183"/>
        <item x="266"/>
        <item x="173"/>
        <item x="69"/>
        <item x="2"/>
        <item x="35"/>
        <item x="68"/>
        <item x="243"/>
        <item x="318"/>
        <item x="303"/>
        <item x="198"/>
        <item x="151"/>
        <item x="176"/>
        <item x="213"/>
        <item x="31"/>
        <item x="284"/>
        <item x="230"/>
        <item x="282"/>
        <item x="97"/>
        <item x="67"/>
        <item x="200"/>
        <item x="317"/>
        <item x="300"/>
        <item x="12"/>
        <item x="64"/>
        <item x="214"/>
        <item x="187"/>
        <item x="129"/>
        <item x="14"/>
        <item x="3"/>
        <item x="263"/>
        <item x="52"/>
        <item x="116"/>
        <item x="209"/>
        <item x="89"/>
        <item x="334"/>
        <item x="27"/>
        <item x="94"/>
        <item x="229"/>
        <item x="48"/>
        <item x="96"/>
        <item x="79"/>
        <item x="100"/>
        <item t="default"/>
      </items>
    </pivotField>
    <pivotField showAll="0">
      <items count="6">
        <item x="1"/>
        <item x="2"/>
        <item x="3"/>
        <item x="4"/>
        <item x="0"/>
        <item t="default"/>
      </items>
    </pivotField>
    <pivotField showAll="0"/>
    <pivotField showAll="0">
      <items count="6">
        <item x="0"/>
        <item x="1"/>
        <item x="3"/>
        <item x="2"/>
        <item x="4"/>
        <item t="default"/>
      </items>
    </pivotField>
    <pivotField dataField="1" numFmtId="165" showAll="0"/>
    <pivotField numFmtId="165"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2">
    <field x="15"/>
    <field x="7"/>
  </rowFields>
  <rowItems count="5">
    <i>
      <x v="1"/>
    </i>
    <i>
      <x v="2"/>
    </i>
    <i>
      <x v="3"/>
    </i>
    <i>
      <x v="4"/>
    </i>
    <i t="grand">
      <x/>
    </i>
  </rowItems>
  <colItems count="1">
    <i/>
  </colItems>
  <dataFields count="1">
    <dataField name="Sum of Revenue in numbers" fld="11" baseField="0" baseItem="0" numFmtId="165"/>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8699F8A-383B-4173-BB5C-AE435198C907}" sourceName="Region">
  <pivotTables>
    <pivotTable tabId="2" name="PivotTable6"/>
  </pivotTables>
  <data>
    <tabular pivotCacheId="878984621">
      <items count="5">
        <i x="1" s="1"/>
        <i x="2" s="1"/>
        <i x="3"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Sale_Date" xr10:uid="{CBB62F22-4B78-49DE-8976-290F73346141}" sourceName="Quarters (Sale Date)">
  <pivotTables>
    <pivotTable tabId="2" name="PivotTable3"/>
  </pivotTables>
  <data>
    <tabular pivotCacheId="878984621">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68C7285E-EEBD-4256-81E9-42A8D57947A5}" sourceName="Customer Type">
  <pivotTables>
    <pivotTable tabId="2" name="PivotTable6"/>
  </pivotTables>
  <data>
    <tabular pivotCacheId="878984621">
      <items count="5">
        <i x="0" s="1"/>
        <i x="1" s="1"/>
        <i x="3"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ug_Name" xr10:uid="{6BBBA793-166F-4A34-9D3B-CE20622500F3}" sourceName="Drug Name">
  <pivotTables>
    <pivotTable tabId="2" name="PivotTable2"/>
  </pivotTables>
  <data>
    <tabular pivotCacheId="669655432">
      <items count="5">
        <i x="3" s="1"/>
        <i x="0" s="1"/>
        <i x="2"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01E3DB9-B68B-449A-9131-73E7FB64286A}" cache="Slicer_Region" caption="Region" style="SlicerStyleOther2" rowHeight="241300"/>
  <slicer name="Quarters (Sale Date)" xr10:uid="{FFDF6F9C-94CE-4139-8558-0C5D32248C5E}" cache="Slicer_Quarters__Sale_Date" caption="Quarters (Sale Date)" style="SlicerStyleOther1" rowHeight="241300"/>
  <slicer name="Customer Type" xr10:uid="{A21D8DF0-174C-43EE-BC10-AA441916EB18}" cache="Slicer_Customer_Type" caption="Customer Type" style="SlicerStyleLight2" rowHeight="241300"/>
  <slicer name="Drug Name" xr10:uid="{0CE1D58E-5B4A-4564-B9B9-C281FABE4E11}" cache="Slicer_Drug_Name" caption="Drug Name" style="SlicerStyleDark5" rowHeight="241300"/>
</slicers>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D65BE-1E74-477B-9019-A84E97B6813D}">
  <dimension ref="A1:O1028"/>
  <sheetViews>
    <sheetView workbookViewId="0">
      <selection activeCell="O5" sqref="O5"/>
    </sheetView>
  </sheetViews>
  <sheetFormatPr defaultRowHeight="14.5" x14ac:dyDescent="0.35"/>
  <cols>
    <col min="1" max="1" width="10.1796875" bestFit="1" customWidth="1"/>
    <col min="2" max="2" width="12.36328125" bestFit="1" customWidth="1"/>
    <col min="3" max="3" width="11.7265625" bestFit="1" customWidth="1"/>
    <col min="4" max="4" width="9.7265625" bestFit="1" customWidth="1"/>
    <col min="5" max="5" width="11.08984375" customWidth="1"/>
    <col min="8" max="8" width="10.08984375" bestFit="1" customWidth="1"/>
    <col min="9" max="9" width="13" bestFit="1" customWidth="1"/>
    <col min="10" max="10" width="21.7265625" bestFit="1" customWidth="1"/>
    <col min="11" max="11" width="15" bestFit="1" customWidth="1"/>
    <col min="12" max="12" width="18.08984375" bestFit="1" customWidth="1"/>
    <col min="13" max="13" width="12.26953125" customWidth="1"/>
  </cols>
  <sheetData>
    <row r="1" spans="1:15" x14ac:dyDescent="0.35">
      <c r="A1" t="s">
        <v>0</v>
      </c>
      <c r="B1" t="s">
        <v>1</v>
      </c>
      <c r="C1" t="s">
        <v>2</v>
      </c>
      <c r="D1" t="s">
        <v>3</v>
      </c>
      <c r="E1" t="s">
        <v>4</v>
      </c>
      <c r="F1" t="s">
        <v>5</v>
      </c>
      <c r="G1" s="9" t="s">
        <v>6</v>
      </c>
      <c r="H1" t="s">
        <v>7</v>
      </c>
      <c r="I1" t="s">
        <v>8</v>
      </c>
      <c r="J1" t="s">
        <v>9</v>
      </c>
      <c r="K1" t="s">
        <v>10</v>
      </c>
      <c r="L1" s="10" t="s">
        <v>2029</v>
      </c>
      <c r="M1" t="s">
        <v>2025</v>
      </c>
    </row>
    <row r="2" spans="1:15" x14ac:dyDescent="0.35">
      <c r="A2" t="s">
        <v>11</v>
      </c>
      <c r="B2" t="s">
        <v>12</v>
      </c>
      <c r="C2" t="s">
        <v>13</v>
      </c>
      <c r="D2" t="s">
        <v>14</v>
      </c>
      <c r="E2" t="s">
        <v>15</v>
      </c>
      <c r="F2" s="4">
        <v>1500</v>
      </c>
      <c r="G2" s="9" t="s">
        <v>16</v>
      </c>
      <c r="H2" s="1">
        <v>45329</v>
      </c>
      <c r="I2" t="s">
        <v>17</v>
      </c>
      <c r="J2" t="s">
        <v>18</v>
      </c>
      <c r="K2" t="s">
        <v>19</v>
      </c>
      <c r="L2" s="3">
        <f t="shared" ref="L2:L65" si="0">VALUE(SUBSTITUTE(G2,"$",""))</f>
        <v>43833</v>
      </c>
      <c r="M2" s="5">
        <f>VALUE(SUBSTITUTE(SUBSTITUTE(G2,"$",""),",",""))/F2</f>
        <v>29.222000000000001</v>
      </c>
    </row>
    <row r="3" spans="1:15" x14ac:dyDescent="0.35">
      <c r="A3" t="s">
        <v>11</v>
      </c>
      <c r="B3" t="s">
        <v>20</v>
      </c>
      <c r="C3" t="s">
        <v>21</v>
      </c>
      <c r="D3" t="s">
        <v>22</v>
      </c>
      <c r="E3" t="s">
        <v>23</v>
      </c>
      <c r="F3" s="4">
        <v>1194</v>
      </c>
      <c r="G3" s="9" t="s">
        <v>24</v>
      </c>
      <c r="H3" s="1">
        <v>45146</v>
      </c>
      <c r="I3" t="s">
        <v>17</v>
      </c>
      <c r="J3" t="s">
        <v>25</v>
      </c>
      <c r="K3" t="s">
        <v>19</v>
      </c>
      <c r="L3" s="3">
        <f t="shared" si="0"/>
        <v>48717</v>
      </c>
      <c r="M3" s="3">
        <f t="shared" ref="M3:M66" si="1">VALUE(SUBSTITUTE(SUBSTITUTE(G3,"$",""),",",""))/F3</f>
        <v>40.801507537688444</v>
      </c>
    </row>
    <row r="4" spans="1:15" x14ac:dyDescent="0.35">
      <c r="A4" t="s">
        <v>26</v>
      </c>
      <c r="B4" t="s">
        <v>20</v>
      </c>
      <c r="C4" t="s">
        <v>27</v>
      </c>
      <c r="D4" t="s">
        <v>28</v>
      </c>
      <c r="E4">
        <v>60</v>
      </c>
      <c r="F4" s="4">
        <v>618</v>
      </c>
      <c r="G4" s="9" t="s">
        <v>29</v>
      </c>
      <c r="H4" s="1">
        <v>45458</v>
      </c>
      <c r="I4" t="s">
        <v>30</v>
      </c>
      <c r="J4" t="s">
        <v>31</v>
      </c>
      <c r="K4" t="s">
        <v>32</v>
      </c>
      <c r="L4" s="3">
        <f t="shared" si="0"/>
        <v>8744</v>
      </c>
      <c r="M4" s="3">
        <f t="shared" si="1"/>
        <v>14.148867313915858</v>
      </c>
    </row>
    <row r="5" spans="1:15" x14ac:dyDescent="0.35">
      <c r="A5" t="s">
        <v>26</v>
      </c>
      <c r="B5" t="s">
        <v>20</v>
      </c>
      <c r="C5" t="s">
        <v>33</v>
      </c>
      <c r="D5" t="s">
        <v>34</v>
      </c>
      <c r="E5" t="s">
        <v>23</v>
      </c>
      <c r="F5" s="4">
        <v>1455</v>
      </c>
      <c r="G5" s="9" t="s">
        <v>35</v>
      </c>
      <c r="H5" s="1">
        <v>45488</v>
      </c>
      <c r="I5" t="s">
        <v>36</v>
      </c>
      <c r="J5" t="s">
        <v>37</v>
      </c>
      <c r="K5" t="s">
        <v>38</v>
      </c>
      <c r="L5" s="3">
        <f t="shared" si="0"/>
        <v>25321</v>
      </c>
      <c r="M5" s="3">
        <f t="shared" si="1"/>
        <v>17.402749140893469</v>
      </c>
      <c r="O5" t="b">
        <f>ISNUMBER(L2)</f>
        <v>1</v>
      </c>
    </row>
    <row r="6" spans="1:15" x14ac:dyDescent="0.35">
      <c r="A6" t="s">
        <v>39</v>
      </c>
      <c r="B6" t="s">
        <v>40</v>
      </c>
      <c r="C6" t="s">
        <v>13</v>
      </c>
      <c r="D6" t="s">
        <v>14</v>
      </c>
      <c r="E6" t="s">
        <v>15</v>
      </c>
      <c r="F6" s="4">
        <v>130</v>
      </c>
      <c r="G6" s="9" t="s">
        <v>41</v>
      </c>
      <c r="H6" s="1">
        <v>45151</v>
      </c>
      <c r="I6" t="s">
        <v>17</v>
      </c>
      <c r="J6" t="s">
        <v>42</v>
      </c>
      <c r="K6" t="s">
        <v>19</v>
      </c>
      <c r="L6" s="3">
        <f t="shared" si="0"/>
        <v>13669</v>
      </c>
      <c r="M6" s="3">
        <f t="shared" si="1"/>
        <v>105.14615384615385</v>
      </c>
    </row>
    <row r="7" spans="1:15" x14ac:dyDescent="0.35">
      <c r="A7" t="s">
        <v>11</v>
      </c>
      <c r="B7" t="s">
        <v>40</v>
      </c>
      <c r="C7" t="s">
        <v>27</v>
      </c>
      <c r="D7" t="s">
        <v>14</v>
      </c>
      <c r="E7" t="s">
        <v>43</v>
      </c>
      <c r="F7" s="4">
        <v>619</v>
      </c>
      <c r="G7" s="9" t="s">
        <v>44</v>
      </c>
      <c r="H7" s="1">
        <v>45265</v>
      </c>
      <c r="I7" t="s">
        <v>45</v>
      </c>
      <c r="J7" t="s">
        <v>46</v>
      </c>
      <c r="K7" t="s">
        <v>32</v>
      </c>
      <c r="L7" s="3">
        <f t="shared" si="0"/>
        <v>7552</v>
      </c>
      <c r="M7" s="3">
        <f t="shared" si="1"/>
        <v>12.200323101777061</v>
      </c>
    </row>
    <row r="8" spans="1:15" x14ac:dyDescent="0.35">
      <c r="A8" t="s">
        <v>39</v>
      </c>
      <c r="B8" t="s">
        <v>20</v>
      </c>
      <c r="C8" t="s">
        <v>21</v>
      </c>
      <c r="D8" t="s">
        <v>22</v>
      </c>
      <c r="E8">
        <v>30</v>
      </c>
      <c r="F8" s="4">
        <v>1779</v>
      </c>
      <c r="G8" s="9" t="s">
        <v>47</v>
      </c>
      <c r="H8" s="1">
        <v>45146</v>
      </c>
      <c r="I8" t="s">
        <v>48</v>
      </c>
      <c r="J8" t="s">
        <v>49</v>
      </c>
      <c r="K8" t="s">
        <v>32</v>
      </c>
      <c r="L8" s="3">
        <f t="shared" si="0"/>
        <v>48563</v>
      </c>
      <c r="M8" s="3">
        <f t="shared" si="1"/>
        <v>27.297920179876336</v>
      </c>
    </row>
    <row r="9" spans="1:15" x14ac:dyDescent="0.35">
      <c r="A9" t="s">
        <v>11</v>
      </c>
      <c r="B9" t="s">
        <v>20</v>
      </c>
      <c r="C9" t="s">
        <v>13</v>
      </c>
      <c r="D9" t="s">
        <v>22</v>
      </c>
      <c r="E9" t="s">
        <v>43</v>
      </c>
      <c r="F9" s="4">
        <v>1727</v>
      </c>
      <c r="G9" s="9" t="s">
        <v>50</v>
      </c>
      <c r="H9" s="1">
        <v>45290</v>
      </c>
      <c r="I9" t="s">
        <v>36</v>
      </c>
      <c r="J9" t="s">
        <v>51</v>
      </c>
      <c r="K9" t="s">
        <v>52</v>
      </c>
      <c r="L9" s="3">
        <f t="shared" si="0"/>
        <v>13672</v>
      </c>
      <c r="M9" s="3">
        <f t="shared" si="1"/>
        <v>7.9166184134337003</v>
      </c>
    </row>
    <row r="10" spans="1:15" x14ac:dyDescent="0.35">
      <c r="A10" t="s">
        <v>53</v>
      </c>
      <c r="B10" t="s">
        <v>40</v>
      </c>
      <c r="C10" t="s">
        <v>27</v>
      </c>
      <c r="D10" t="s">
        <v>22</v>
      </c>
      <c r="E10" t="s">
        <v>15</v>
      </c>
      <c r="F10" s="4">
        <v>451</v>
      </c>
      <c r="G10" s="9" t="s">
        <v>54</v>
      </c>
      <c r="H10" s="1">
        <v>45244</v>
      </c>
      <c r="I10" t="s">
        <v>36</v>
      </c>
      <c r="J10" t="s">
        <v>55</v>
      </c>
      <c r="K10" t="s">
        <v>56</v>
      </c>
      <c r="L10" s="3">
        <f t="shared" si="0"/>
        <v>45835</v>
      </c>
      <c r="M10" s="3">
        <f t="shared" si="1"/>
        <v>101.62971175166297</v>
      </c>
    </row>
    <row r="11" spans="1:15" x14ac:dyDescent="0.35">
      <c r="A11" t="s">
        <v>39</v>
      </c>
      <c r="B11" t="s">
        <v>20</v>
      </c>
      <c r="C11" t="s">
        <v>21</v>
      </c>
      <c r="D11" t="s">
        <v>34</v>
      </c>
      <c r="E11" t="s">
        <v>43</v>
      </c>
      <c r="F11" s="4">
        <v>1006</v>
      </c>
      <c r="G11" s="9" t="s">
        <v>57</v>
      </c>
      <c r="H11" s="1">
        <v>45435</v>
      </c>
      <c r="I11" t="s">
        <v>36</v>
      </c>
      <c r="J11" t="s">
        <v>58</v>
      </c>
      <c r="K11" t="s">
        <v>56</v>
      </c>
      <c r="L11" s="3">
        <f t="shared" si="0"/>
        <v>31716</v>
      </c>
      <c r="M11" s="3">
        <f t="shared" si="1"/>
        <v>31.526838966202785</v>
      </c>
    </row>
    <row r="12" spans="1:15" x14ac:dyDescent="0.35">
      <c r="A12" t="s">
        <v>39</v>
      </c>
      <c r="B12" t="s">
        <v>59</v>
      </c>
      <c r="C12" t="s">
        <v>27</v>
      </c>
      <c r="D12" t="s">
        <v>28</v>
      </c>
      <c r="E12" t="s">
        <v>23</v>
      </c>
      <c r="F12" s="4">
        <v>1633</v>
      </c>
      <c r="G12" s="9" t="s">
        <v>60</v>
      </c>
      <c r="H12" s="1">
        <v>45430</v>
      </c>
      <c r="I12" t="s">
        <v>45</v>
      </c>
      <c r="J12" t="s">
        <v>61</v>
      </c>
      <c r="K12" t="s">
        <v>38</v>
      </c>
      <c r="L12" s="3">
        <f t="shared" si="0"/>
        <v>33931</v>
      </c>
      <c r="M12" s="3">
        <f t="shared" si="1"/>
        <v>20.778322106552359</v>
      </c>
    </row>
    <row r="13" spans="1:15" x14ac:dyDescent="0.35">
      <c r="A13" t="s">
        <v>53</v>
      </c>
      <c r="B13" t="s">
        <v>62</v>
      </c>
      <c r="C13" t="s">
        <v>21</v>
      </c>
      <c r="D13" t="s">
        <v>28</v>
      </c>
      <c r="E13">
        <v>30</v>
      </c>
      <c r="F13" s="4">
        <v>128</v>
      </c>
      <c r="G13" s="9" t="s">
        <v>63</v>
      </c>
      <c r="H13" s="1">
        <v>45238</v>
      </c>
      <c r="I13" t="s">
        <v>48</v>
      </c>
      <c r="J13" t="s">
        <v>64</v>
      </c>
      <c r="K13" t="s">
        <v>52</v>
      </c>
      <c r="L13" s="3">
        <f t="shared" si="0"/>
        <v>35258</v>
      </c>
      <c r="M13" s="3">
        <f t="shared" si="1"/>
        <v>275.453125</v>
      </c>
    </row>
    <row r="14" spans="1:15" x14ac:dyDescent="0.35">
      <c r="A14" t="s">
        <v>39</v>
      </c>
      <c r="B14" t="s">
        <v>40</v>
      </c>
      <c r="C14" t="s">
        <v>33</v>
      </c>
      <c r="D14" t="s">
        <v>22</v>
      </c>
      <c r="E14" t="s">
        <v>43</v>
      </c>
      <c r="F14" s="4">
        <v>504</v>
      </c>
      <c r="G14" s="9" t="s">
        <v>65</v>
      </c>
      <c r="H14" s="1">
        <v>45157</v>
      </c>
      <c r="I14" t="s">
        <v>45</v>
      </c>
      <c r="J14" t="s">
        <v>66</v>
      </c>
      <c r="K14" t="s">
        <v>38</v>
      </c>
      <c r="L14" s="3">
        <f t="shared" si="0"/>
        <v>36459</v>
      </c>
      <c r="M14" s="3">
        <f t="shared" si="1"/>
        <v>72.339285714285708</v>
      </c>
    </row>
    <row r="15" spans="1:15" x14ac:dyDescent="0.35">
      <c r="A15" t="s">
        <v>26</v>
      </c>
      <c r="B15" t="s">
        <v>40</v>
      </c>
      <c r="C15" t="s">
        <v>21</v>
      </c>
      <c r="D15" t="s">
        <v>22</v>
      </c>
      <c r="E15" t="s">
        <v>23</v>
      </c>
      <c r="F15" s="4">
        <v>216</v>
      </c>
      <c r="G15" s="9" t="s">
        <v>67</v>
      </c>
      <c r="H15" s="1">
        <v>45481</v>
      </c>
      <c r="I15" t="s">
        <v>45</v>
      </c>
      <c r="J15" t="s">
        <v>68</v>
      </c>
      <c r="K15" t="s">
        <v>38</v>
      </c>
      <c r="L15" s="3">
        <f t="shared" si="0"/>
        <v>32152</v>
      </c>
      <c r="M15" s="3">
        <f t="shared" si="1"/>
        <v>148.85185185185185</v>
      </c>
    </row>
    <row r="16" spans="1:15" x14ac:dyDescent="0.35">
      <c r="A16" t="s">
        <v>26</v>
      </c>
      <c r="B16" t="s">
        <v>40</v>
      </c>
      <c r="C16" t="s">
        <v>33</v>
      </c>
      <c r="D16" t="s">
        <v>34</v>
      </c>
      <c r="E16" t="s">
        <v>43</v>
      </c>
      <c r="F16" s="4">
        <v>1986</v>
      </c>
      <c r="G16" s="9" t="s">
        <v>69</v>
      </c>
      <c r="H16" s="1">
        <v>45263</v>
      </c>
      <c r="I16" t="s">
        <v>45</v>
      </c>
      <c r="J16" t="s">
        <v>70</v>
      </c>
      <c r="K16" t="s">
        <v>38</v>
      </c>
      <c r="L16" s="3">
        <f t="shared" si="0"/>
        <v>13538</v>
      </c>
      <c r="M16" s="3">
        <f t="shared" si="1"/>
        <v>6.8167170191339377</v>
      </c>
    </row>
    <row r="17" spans="1:13" x14ac:dyDescent="0.35">
      <c r="A17" t="s">
        <v>53</v>
      </c>
      <c r="B17" t="s">
        <v>12</v>
      </c>
      <c r="C17" t="s">
        <v>21</v>
      </c>
      <c r="D17" t="s">
        <v>28</v>
      </c>
      <c r="E17">
        <v>30</v>
      </c>
      <c r="F17" s="4">
        <v>1977</v>
      </c>
      <c r="G17" s="9" t="s">
        <v>71</v>
      </c>
      <c r="H17" s="1">
        <v>45486</v>
      </c>
      <c r="I17" t="s">
        <v>30</v>
      </c>
      <c r="J17" t="s">
        <v>72</v>
      </c>
      <c r="K17" t="s">
        <v>52</v>
      </c>
      <c r="L17" s="3">
        <f t="shared" si="0"/>
        <v>9566</v>
      </c>
      <c r="M17" s="3">
        <f t="shared" si="1"/>
        <v>4.838644410723318</v>
      </c>
    </row>
    <row r="18" spans="1:13" x14ac:dyDescent="0.35">
      <c r="A18" t="s">
        <v>53</v>
      </c>
      <c r="B18" t="s">
        <v>40</v>
      </c>
      <c r="C18" t="s">
        <v>13</v>
      </c>
      <c r="D18" t="s">
        <v>14</v>
      </c>
      <c r="E18" t="s">
        <v>15</v>
      </c>
      <c r="F18" s="4">
        <v>1320</v>
      </c>
      <c r="G18" s="9" t="s">
        <v>73</v>
      </c>
      <c r="H18" s="1">
        <v>45160</v>
      </c>
      <c r="I18" t="s">
        <v>48</v>
      </c>
      <c r="J18" t="s">
        <v>74</v>
      </c>
      <c r="K18" t="s">
        <v>19</v>
      </c>
      <c r="L18" s="3">
        <f t="shared" si="0"/>
        <v>29932</v>
      </c>
      <c r="M18" s="3">
        <f t="shared" si="1"/>
        <v>22.675757575757576</v>
      </c>
    </row>
    <row r="19" spans="1:13" x14ac:dyDescent="0.35">
      <c r="A19" t="s">
        <v>26</v>
      </c>
      <c r="B19" t="s">
        <v>12</v>
      </c>
      <c r="C19" t="s">
        <v>21</v>
      </c>
      <c r="D19" t="s">
        <v>34</v>
      </c>
      <c r="E19">
        <v>30</v>
      </c>
      <c r="F19" s="4">
        <v>1766</v>
      </c>
      <c r="G19" s="9" t="s">
        <v>75</v>
      </c>
      <c r="H19" s="1">
        <v>45349</v>
      </c>
      <c r="I19" t="s">
        <v>17</v>
      </c>
      <c r="J19" t="s">
        <v>76</v>
      </c>
      <c r="K19" t="s">
        <v>38</v>
      </c>
      <c r="L19" s="3">
        <f t="shared" si="0"/>
        <v>45608</v>
      </c>
      <c r="M19" s="3">
        <f t="shared" si="1"/>
        <v>25.82559456398641</v>
      </c>
    </row>
    <row r="20" spans="1:13" x14ac:dyDescent="0.35">
      <c r="A20" t="s">
        <v>11</v>
      </c>
      <c r="B20" t="s">
        <v>20</v>
      </c>
      <c r="C20" t="s">
        <v>77</v>
      </c>
      <c r="D20" t="s">
        <v>14</v>
      </c>
      <c r="E20">
        <v>60</v>
      </c>
      <c r="F20" s="4">
        <v>1078</v>
      </c>
      <c r="G20" s="9" t="s">
        <v>78</v>
      </c>
      <c r="H20" s="1">
        <v>45303</v>
      </c>
      <c r="I20" t="s">
        <v>17</v>
      </c>
      <c r="J20" t="s">
        <v>79</v>
      </c>
      <c r="K20" t="s">
        <v>52</v>
      </c>
      <c r="L20" s="3">
        <f t="shared" si="0"/>
        <v>42394</v>
      </c>
      <c r="M20" s="3">
        <f t="shared" si="1"/>
        <v>39.326530612244895</v>
      </c>
    </row>
    <row r="21" spans="1:13" x14ac:dyDescent="0.35">
      <c r="A21" t="s">
        <v>39</v>
      </c>
      <c r="B21" t="s">
        <v>20</v>
      </c>
      <c r="C21" t="s">
        <v>33</v>
      </c>
      <c r="D21" t="s">
        <v>22</v>
      </c>
      <c r="E21">
        <v>60</v>
      </c>
      <c r="F21" s="4">
        <v>783</v>
      </c>
      <c r="G21" s="9" t="s">
        <v>80</v>
      </c>
      <c r="H21" s="1">
        <v>45315</v>
      </c>
      <c r="I21" t="s">
        <v>36</v>
      </c>
      <c r="J21" t="s">
        <v>81</v>
      </c>
      <c r="K21" t="s">
        <v>19</v>
      </c>
      <c r="L21" s="3">
        <f t="shared" si="0"/>
        <v>48016</v>
      </c>
      <c r="M21" s="3">
        <f t="shared" si="1"/>
        <v>61.323116219667945</v>
      </c>
    </row>
    <row r="22" spans="1:13" x14ac:dyDescent="0.35">
      <c r="A22" t="s">
        <v>26</v>
      </c>
      <c r="B22" t="s">
        <v>20</v>
      </c>
      <c r="C22" t="s">
        <v>27</v>
      </c>
      <c r="D22" t="s">
        <v>14</v>
      </c>
      <c r="E22">
        <v>60</v>
      </c>
      <c r="F22" s="4">
        <v>1161</v>
      </c>
      <c r="G22" s="9" t="s">
        <v>82</v>
      </c>
      <c r="H22" s="1">
        <v>45299</v>
      </c>
      <c r="I22" t="s">
        <v>45</v>
      </c>
      <c r="J22" t="s">
        <v>83</v>
      </c>
      <c r="K22" t="s">
        <v>19</v>
      </c>
      <c r="L22" s="3">
        <f t="shared" si="0"/>
        <v>11048</v>
      </c>
      <c r="M22" s="3">
        <f t="shared" si="1"/>
        <v>9.5159345391903525</v>
      </c>
    </row>
    <row r="23" spans="1:13" x14ac:dyDescent="0.35">
      <c r="A23" t="s">
        <v>53</v>
      </c>
      <c r="B23" t="s">
        <v>20</v>
      </c>
      <c r="C23" t="s">
        <v>27</v>
      </c>
      <c r="D23" t="s">
        <v>28</v>
      </c>
      <c r="E23" t="s">
        <v>15</v>
      </c>
      <c r="F23" s="4">
        <v>1820</v>
      </c>
      <c r="G23" s="9" t="s">
        <v>84</v>
      </c>
      <c r="H23" s="1">
        <v>45366</v>
      </c>
      <c r="I23" t="s">
        <v>30</v>
      </c>
      <c r="J23" t="s">
        <v>85</v>
      </c>
      <c r="K23" t="s">
        <v>32</v>
      </c>
      <c r="L23" s="3">
        <f t="shared" si="0"/>
        <v>16952</v>
      </c>
      <c r="M23" s="3">
        <f t="shared" si="1"/>
        <v>9.3142857142857149</v>
      </c>
    </row>
    <row r="24" spans="1:13" x14ac:dyDescent="0.35">
      <c r="A24" t="s">
        <v>86</v>
      </c>
      <c r="B24" t="s">
        <v>40</v>
      </c>
      <c r="C24" t="s">
        <v>13</v>
      </c>
      <c r="D24" t="s">
        <v>28</v>
      </c>
      <c r="E24">
        <v>60</v>
      </c>
      <c r="F24" s="4">
        <v>147</v>
      </c>
      <c r="G24" s="9" t="s">
        <v>87</v>
      </c>
      <c r="H24" s="1">
        <v>45437</v>
      </c>
      <c r="I24" t="s">
        <v>30</v>
      </c>
      <c r="J24" t="s">
        <v>88</v>
      </c>
      <c r="K24" t="s">
        <v>32</v>
      </c>
      <c r="L24" s="3">
        <f t="shared" si="0"/>
        <v>28543</v>
      </c>
      <c r="M24" s="3">
        <f t="shared" si="1"/>
        <v>194.17006802721087</v>
      </c>
    </row>
    <row r="25" spans="1:13" x14ac:dyDescent="0.35">
      <c r="A25" t="s">
        <v>11</v>
      </c>
      <c r="B25" t="s">
        <v>62</v>
      </c>
      <c r="C25" t="s">
        <v>27</v>
      </c>
      <c r="D25" t="s">
        <v>89</v>
      </c>
      <c r="E25">
        <v>60</v>
      </c>
      <c r="F25" s="4">
        <v>990</v>
      </c>
      <c r="G25" s="9" t="s">
        <v>90</v>
      </c>
      <c r="H25" s="1">
        <v>45172</v>
      </c>
      <c r="I25" t="s">
        <v>48</v>
      </c>
      <c r="J25" t="s">
        <v>91</v>
      </c>
      <c r="K25" t="s">
        <v>52</v>
      </c>
      <c r="L25" s="3">
        <f t="shared" si="0"/>
        <v>5766</v>
      </c>
      <c r="M25" s="3">
        <f t="shared" si="1"/>
        <v>5.8242424242424242</v>
      </c>
    </row>
    <row r="26" spans="1:13" x14ac:dyDescent="0.35">
      <c r="A26" t="s">
        <v>11</v>
      </c>
      <c r="B26" t="s">
        <v>62</v>
      </c>
      <c r="C26" t="s">
        <v>33</v>
      </c>
      <c r="D26" t="s">
        <v>22</v>
      </c>
      <c r="E26">
        <v>60</v>
      </c>
      <c r="F26" s="4">
        <v>223</v>
      </c>
      <c r="G26" s="9" t="s">
        <v>92</v>
      </c>
      <c r="H26" s="1">
        <v>45371</v>
      </c>
      <c r="I26" t="s">
        <v>36</v>
      </c>
      <c r="J26" t="s">
        <v>93</v>
      </c>
      <c r="K26" t="s">
        <v>52</v>
      </c>
      <c r="L26" s="3">
        <f t="shared" si="0"/>
        <v>23153</v>
      </c>
      <c r="M26" s="3">
        <f t="shared" si="1"/>
        <v>103.82511210762331</v>
      </c>
    </row>
    <row r="27" spans="1:13" x14ac:dyDescent="0.35">
      <c r="A27" t="s">
        <v>86</v>
      </c>
      <c r="B27" t="s">
        <v>62</v>
      </c>
      <c r="C27" t="s">
        <v>77</v>
      </c>
      <c r="D27" t="s">
        <v>89</v>
      </c>
      <c r="E27" t="s">
        <v>15</v>
      </c>
      <c r="F27" s="4">
        <v>855</v>
      </c>
      <c r="G27" s="9" t="s">
        <v>94</v>
      </c>
      <c r="H27" s="1">
        <v>45313</v>
      </c>
      <c r="I27" t="s">
        <v>17</v>
      </c>
      <c r="J27" t="s">
        <v>95</v>
      </c>
      <c r="K27" t="s">
        <v>56</v>
      </c>
      <c r="L27" s="3">
        <f t="shared" si="0"/>
        <v>22920</v>
      </c>
      <c r="M27" s="3">
        <f t="shared" si="1"/>
        <v>26.807017543859651</v>
      </c>
    </row>
    <row r="28" spans="1:13" x14ac:dyDescent="0.35">
      <c r="A28" t="s">
        <v>39</v>
      </c>
      <c r="B28" t="s">
        <v>20</v>
      </c>
      <c r="C28" t="s">
        <v>21</v>
      </c>
      <c r="D28" t="s">
        <v>28</v>
      </c>
      <c r="E28" t="s">
        <v>23</v>
      </c>
      <c r="F28" s="4">
        <v>968</v>
      </c>
      <c r="G28" s="9" t="s">
        <v>96</v>
      </c>
      <c r="H28" s="1">
        <v>45264</v>
      </c>
      <c r="I28" t="s">
        <v>30</v>
      </c>
      <c r="J28" t="s">
        <v>97</v>
      </c>
      <c r="K28" t="s">
        <v>32</v>
      </c>
      <c r="L28" s="3">
        <f t="shared" si="0"/>
        <v>6595</v>
      </c>
      <c r="M28" s="3">
        <f t="shared" si="1"/>
        <v>6.8130165289256199</v>
      </c>
    </row>
    <row r="29" spans="1:13" x14ac:dyDescent="0.35">
      <c r="A29" t="s">
        <v>11</v>
      </c>
      <c r="B29" t="s">
        <v>12</v>
      </c>
      <c r="C29" t="s">
        <v>21</v>
      </c>
      <c r="D29" t="s">
        <v>34</v>
      </c>
      <c r="E29" t="s">
        <v>43</v>
      </c>
      <c r="F29" s="4">
        <v>1378</v>
      </c>
      <c r="G29" s="9" t="s">
        <v>98</v>
      </c>
      <c r="H29" s="1">
        <v>45271</v>
      </c>
      <c r="I29" t="s">
        <v>17</v>
      </c>
      <c r="J29" t="s">
        <v>99</v>
      </c>
      <c r="K29" t="s">
        <v>52</v>
      </c>
      <c r="L29" s="3">
        <f t="shared" si="0"/>
        <v>37523</v>
      </c>
      <c r="M29" s="3">
        <f t="shared" si="1"/>
        <v>27.230043541364296</v>
      </c>
    </row>
    <row r="30" spans="1:13" x14ac:dyDescent="0.35">
      <c r="A30" t="s">
        <v>11</v>
      </c>
      <c r="B30" t="s">
        <v>62</v>
      </c>
      <c r="C30" t="s">
        <v>13</v>
      </c>
      <c r="D30" t="s">
        <v>22</v>
      </c>
      <c r="E30" t="s">
        <v>23</v>
      </c>
      <c r="F30" s="4">
        <v>1473</v>
      </c>
      <c r="G30" s="9" t="s">
        <v>100</v>
      </c>
      <c r="H30" s="1">
        <v>45495</v>
      </c>
      <c r="I30" t="s">
        <v>17</v>
      </c>
      <c r="J30" t="s">
        <v>101</v>
      </c>
      <c r="K30" t="s">
        <v>56</v>
      </c>
      <c r="L30" s="3">
        <f t="shared" si="0"/>
        <v>23815</v>
      </c>
      <c r="M30" s="3">
        <f t="shared" si="1"/>
        <v>16.167684996605566</v>
      </c>
    </row>
    <row r="31" spans="1:13" x14ac:dyDescent="0.35">
      <c r="A31" t="s">
        <v>39</v>
      </c>
      <c r="B31" t="s">
        <v>20</v>
      </c>
      <c r="C31" t="s">
        <v>27</v>
      </c>
      <c r="D31" t="s">
        <v>89</v>
      </c>
      <c r="E31" t="s">
        <v>23</v>
      </c>
      <c r="F31" s="4">
        <v>791</v>
      </c>
      <c r="G31" s="9" t="s">
        <v>102</v>
      </c>
      <c r="H31" s="1">
        <v>45417</v>
      </c>
      <c r="I31" t="s">
        <v>30</v>
      </c>
      <c r="J31" t="s">
        <v>103</v>
      </c>
      <c r="K31" t="s">
        <v>32</v>
      </c>
      <c r="L31" s="3">
        <f t="shared" si="0"/>
        <v>40754</v>
      </c>
      <c r="M31" s="3">
        <f t="shared" si="1"/>
        <v>51.522123893805308</v>
      </c>
    </row>
    <row r="32" spans="1:13" x14ac:dyDescent="0.35">
      <c r="A32" t="s">
        <v>39</v>
      </c>
      <c r="B32" t="s">
        <v>40</v>
      </c>
      <c r="C32" t="s">
        <v>13</v>
      </c>
      <c r="D32" t="s">
        <v>34</v>
      </c>
      <c r="E32" t="s">
        <v>15</v>
      </c>
      <c r="F32" s="4">
        <v>1523</v>
      </c>
      <c r="G32" s="9" t="s">
        <v>104</v>
      </c>
      <c r="H32" s="1">
        <v>45211</v>
      </c>
      <c r="I32" t="s">
        <v>17</v>
      </c>
      <c r="J32" t="s">
        <v>105</v>
      </c>
      <c r="K32" t="s">
        <v>19</v>
      </c>
      <c r="L32" s="3">
        <f t="shared" si="0"/>
        <v>35645</v>
      </c>
      <c r="M32" s="3">
        <f t="shared" si="1"/>
        <v>23.404464871963231</v>
      </c>
    </row>
    <row r="33" spans="1:13" x14ac:dyDescent="0.35">
      <c r="A33" t="s">
        <v>26</v>
      </c>
      <c r="B33" t="s">
        <v>12</v>
      </c>
      <c r="C33" t="s">
        <v>21</v>
      </c>
      <c r="D33" t="s">
        <v>89</v>
      </c>
      <c r="E33" t="s">
        <v>15</v>
      </c>
      <c r="F33" s="4">
        <v>1214</v>
      </c>
      <c r="G33" s="9" t="s">
        <v>106</v>
      </c>
      <c r="H33" s="1">
        <v>45359</v>
      </c>
      <c r="I33" t="s">
        <v>17</v>
      </c>
      <c r="J33" t="s">
        <v>107</v>
      </c>
      <c r="K33" t="s">
        <v>52</v>
      </c>
      <c r="L33" s="3">
        <f t="shared" si="0"/>
        <v>1820</v>
      </c>
      <c r="M33" s="3">
        <f t="shared" si="1"/>
        <v>1.4991762767710048</v>
      </c>
    </row>
    <row r="34" spans="1:13" x14ac:dyDescent="0.35">
      <c r="A34" t="s">
        <v>39</v>
      </c>
      <c r="B34" t="s">
        <v>40</v>
      </c>
      <c r="C34" t="s">
        <v>33</v>
      </c>
      <c r="D34" t="s">
        <v>89</v>
      </c>
      <c r="E34">
        <v>60</v>
      </c>
      <c r="F34" s="4">
        <v>440</v>
      </c>
      <c r="G34" s="9" t="s">
        <v>108</v>
      </c>
      <c r="H34" s="1">
        <v>45470</v>
      </c>
      <c r="I34" t="s">
        <v>36</v>
      </c>
      <c r="J34" t="s">
        <v>109</v>
      </c>
      <c r="K34" t="s">
        <v>32</v>
      </c>
      <c r="L34" s="3">
        <f t="shared" si="0"/>
        <v>13578</v>
      </c>
      <c r="M34" s="3">
        <f t="shared" si="1"/>
        <v>30.859090909090909</v>
      </c>
    </row>
    <row r="35" spans="1:13" x14ac:dyDescent="0.35">
      <c r="A35" t="s">
        <v>86</v>
      </c>
      <c r="B35" t="s">
        <v>59</v>
      </c>
      <c r="C35" t="s">
        <v>77</v>
      </c>
      <c r="D35" t="s">
        <v>34</v>
      </c>
      <c r="E35">
        <v>60</v>
      </c>
      <c r="F35" s="4">
        <v>1574</v>
      </c>
      <c r="G35" s="9" t="s">
        <v>110</v>
      </c>
      <c r="H35" s="1">
        <v>45396</v>
      </c>
      <c r="I35" t="s">
        <v>30</v>
      </c>
      <c r="J35" t="s">
        <v>111</v>
      </c>
      <c r="K35" t="s">
        <v>56</v>
      </c>
      <c r="L35" s="3">
        <f t="shared" si="0"/>
        <v>47682</v>
      </c>
      <c r="M35" s="3">
        <f t="shared" si="1"/>
        <v>30.293519695044473</v>
      </c>
    </row>
    <row r="36" spans="1:13" x14ac:dyDescent="0.35">
      <c r="A36" t="s">
        <v>53</v>
      </c>
      <c r="B36" t="s">
        <v>12</v>
      </c>
      <c r="C36" t="s">
        <v>21</v>
      </c>
      <c r="D36" t="s">
        <v>89</v>
      </c>
      <c r="E36" t="s">
        <v>15</v>
      </c>
      <c r="F36" s="4">
        <v>1880</v>
      </c>
      <c r="G36" s="9" t="s">
        <v>112</v>
      </c>
      <c r="H36" s="1">
        <v>45295</v>
      </c>
      <c r="I36" t="s">
        <v>48</v>
      </c>
      <c r="J36" t="s">
        <v>113</v>
      </c>
      <c r="K36" t="s">
        <v>38</v>
      </c>
      <c r="L36" s="3">
        <f t="shared" si="0"/>
        <v>41604</v>
      </c>
      <c r="M36" s="3">
        <f t="shared" si="1"/>
        <v>22.129787234042553</v>
      </c>
    </row>
    <row r="37" spans="1:13" x14ac:dyDescent="0.35">
      <c r="A37" t="s">
        <v>26</v>
      </c>
      <c r="B37" t="s">
        <v>62</v>
      </c>
      <c r="C37" t="s">
        <v>13</v>
      </c>
      <c r="D37" t="s">
        <v>14</v>
      </c>
      <c r="E37" t="s">
        <v>43</v>
      </c>
      <c r="F37" s="4">
        <v>383</v>
      </c>
      <c r="G37" s="9" t="s">
        <v>114</v>
      </c>
      <c r="H37" s="1">
        <v>45298</v>
      </c>
      <c r="I37" t="s">
        <v>17</v>
      </c>
      <c r="J37" t="s">
        <v>115</v>
      </c>
      <c r="K37" t="s">
        <v>32</v>
      </c>
      <c r="L37" s="3">
        <f t="shared" si="0"/>
        <v>21024</v>
      </c>
      <c r="M37" s="3">
        <f t="shared" si="1"/>
        <v>54.892950391644909</v>
      </c>
    </row>
    <row r="38" spans="1:13" x14ac:dyDescent="0.35">
      <c r="A38" t="s">
        <v>26</v>
      </c>
      <c r="B38" t="s">
        <v>59</v>
      </c>
      <c r="C38" t="s">
        <v>33</v>
      </c>
      <c r="D38" t="s">
        <v>34</v>
      </c>
      <c r="E38" t="s">
        <v>43</v>
      </c>
      <c r="F38" s="4">
        <v>253</v>
      </c>
      <c r="G38" s="9" t="s">
        <v>116</v>
      </c>
      <c r="H38" s="1">
        <v>45459</v>
      </c>
      <c r="I38" t="s">
        <v>17</v>
      </c>
      <c r="J38" t="s">
        <v>117</v>
      </c>
      <c r="K38" t="s">
        <v>52</v>
      </c>
      <c r="L38" s="3">
        <f t="shared" si="0"/>
        <v>18363</v>
      </c>
      <c r="M38" s="3">
        <f t="shared" si="1"/>
        <v>72.581027667984188</v>
      </c>
    </row>
    <row r="39" spans="1:13" x14ac:dyDescent="0.35">
      <c r="A39" t="s">
        <v>39</v>
      </c>
      <c r="B39" t="s">
        <v>59</v>
      </c>
      <c r="C39" t="s">
        <v>77</v>
      </c>
      <c r="D39" t="s">
        <v>14</v>
      </c>
      <c r="E39">
        <v>30</v>
      </c>
      <c r="F39" s="4">
        <v>1818</v>
      </c>
      <c r="G39" s="9" t="s">
        <v>118</v>
      </c>
      <c r="H39" s="1">
        <v>45320</v>
      </c>
      <c r="I39" t="s">
        <v>30</v>
      </c>
      <c r="J39" t="s">
        <v>119</v>
      </c>
      <c r="K39" t="s">
        <v>52</v>
      </c>
      <c r="L39" s="3">
        <f t="shared" si="0"/>
        <v>2347</v>
      </c>
      <c r="M39" s="3">
        <f t="shared" si="1"/>
        <v>1.290979097909791</v>
      </c>
    </row>
    <row r="40" spans="1:13" x14ac:dyDescent="0.35">
      <c r="A40" t="s">
        <v>26</v>
      </c>
      <c r="B40" t="s">
        <v>62</v>
      </c>
      <c r="C40" t="s">
        <v>13</v>
      </c>
      <c r="D40" t="s">
        <v>89</v>
      </c>
      <c r="E40" t="s">
        <v>15</v>
      </c>
      <c r="F40" s="4">
        <v>1351</v>
      </c>
      <c r="G40" s="9" t="s">
        <v>120</v>
      </c>
      <c r="H40" s="1">
        <v>45201</v>
      </c>
      <c r="I40" t="s">
        <v>36</v>
      </c>
      <c r="J40" t="s">
        <v>121</v>
      </c>
      <c r="K40" t="s">
        <v>19</v>
      </c>
      <c r="L40" s="3">
        <f t="shared" si="0"/>
        <v>41781</v>
      </c>
      <c r="M40" s="3">
        <f t="shared" si="1"/>
        <v>30.925980754996299</v>
      </c>
    </row>
    <row r="41" spans="1:13" x14ac:dyDescent="0.35">
      <c r="A41" t="s">
        <v>11</v>
      </c>
      <c r="B41" t="s">
        <v>59</v>
      </c>
      <c r="C41" t="s">
        <v>77</v>
      </c>
      <c r="D41" t="s">
        <v>28</v>
      </c>
      <c r="E41" t="s">
        <v>43</v>
      </c>
      <c r="F41" s="4">
        <v>1904</v>
      </c>
      <c r="G41" s="9" t="s">
        <v>122</v>
      </c>
      <c r="H41" s="1">
        <v>45175</v>
      </c>
      <c r="I41" t="s">
        <v>30</v>
      </c>
      <c r="J41" t="s">
        <v>123</v>
      </c>
      <c r="K41" t="s">
        <v>32</v>
      </c>
      <c r="L41" s="3">
        <f t="shared" si="0"/>
        <v>34028</v>
      </c>
      <c r="M41" s="3">
        <f t="shared" si="1"/>
        <v>17.8718487394958</v>
      </c>
    </row>
    <row r="42" spans="1:13" x14ac:dyDescent="0.35">
      <c r="A42" t="s">
        <v>11</v>
      </c>
      <c r="B42" t="s">
        <v>12</v>
      </c>
      <c r="C42" t="s">
        <v>33</v>
      </c>
      <c r="D42" t="s">
        <v>14</v>
      </c>
      <c r="E42" t="s">
        <v>43</v>
      </c>
      <c r="F42" s="4">
        <v>1954</v>
      </c>
      <c r="G42" s="9" t="s">
        <v>124</v>
      </c>
      <c r="H42" s="1">
        <v>45181</v>
      </c>
      <c r="I42" t="s">
        <v>30</v>
      </c>
      <c r="J42" t="s">
        <v>125</v>
      </c>
      <c r="K42" t="s">
        <v>56</v>
      </c>
      <c r="L42" s="3">
        <f t="shared" si="0"/>
        <v>6369</v>
      </c>
      <c r="M42" s="3">
        <f t="shared" si="1"/>
        <v>3.2594677584442171</v>
      </c>
    </row>
    <row r="43" spans="1:13" x14ac:dyDescent="0.35">
      <c r="A43" t="s">
        <v>53</v>
      </c>
      <c r="B43" t="s">
        <v>40</v>
      </c>
      <c r="C43" t="s">
        <v>27</v>
      </c>
      <c r="D43" t="s">
        <v>14</v>
      </c>
      <c r="E43">
        <v>60</v>
      </c>
      <c r="F43" s="4">
        <v>1042</v>
      </c>
      <c r="G43" s="9" t="s">
        <v>126</v>
      </c>
      <c r="H43" s="1">
        <v>45229</v>
      </c>
      <c r="I43" t="s">
        <v>45</v>
      </c>
      <c r="J43" t="s">
        <v>127</v>
      </c>
      <c r="K43" t="s">
        <v>19</v>
      </c>
      <c r="L43" s="3">
        <f t="shared" si="0"/>
        <v>18788</v>
      </c>
      <c r="M43" s="3">
        <f t="shared" si="1"/>
        <v>18.030710172744723</v>
      </c>
    </row>
    <row r="44" spans="1:13" x14ac:dyDescent="0.35">
      <c r="A44" t="s">
        <v>86</v>
      </c>
      <c r="B44" t="s">
        <v>40</v>
      </c>
      <c r="C44" t="s">
        <v>21</v>
      </c>
      <c r="D44" t="s">
        <v>89</v>
      </c>
      <c r="E44" t="s">
        <v>43</v>
      </c>
      <c r="F44" s="4">
        <v>1564</v>
      </c>
      <c r="G44" s="9" t="s">
        <v>128</v>
      </c>
      <c r="H44" s="1">
        <v>45190</v>
      </c>
      <c r="I44" t="s">
        <v>17</v>
      </c>
      <c r="J44" t="s">
        <v>129</v>
      </c>
      <c r="K44" t="s">
        <v>56</v>
      </c>
      <c r="L44" s="3">
        <f t="shared" si="0"/>
        <v>22868</v>
      </c>
      <c r="M44" s="3">
        <f t="shared" si="1"/>
        <v>14.621483375959079</v>
      </c>
    </row>
    <row r="45" spans="1:13" x14ac:dyDescent="0.35">
      <c r="A45" t="s">
        <v>39</v>
      </c>
      <c r="B45" t="s">
        <v>59</v>
      </c>
      <c r="C45" t="s">
        <v>77</v>
      </c>
      <c r="D45" t="s">
        <v>14</v>
      </c>
      <c r="E45" t="s">
        <v>23</v>
      </c>
      <c r="F45" s="4">
        <v>1741</v>
      </c>
      <c r="G45" s="9" t="s">
        <v>130</v>
      </c>
      <c r="H45" s="1">
        <v>45390</v>
      </c>
      <c r="I45" t="s">
        <v>30</v>
      </c>
      <c r="J45" t="s">
        <v>131</v>
      </c>
      <c r="K45" t="s">
        <v>19</v>
      </c>
      <c r="L45" s="3">
        <f t="shared" si="0"/>
        <v>16211</v>
      </c>
      <c r="M45" s="3">
        <f t="shared" si="1"/>
        <v>9.3113153360137844</v>
      </c>
    </row>
    <row r="46" spans="1:13" x14ac:dyDescent="0.35">
      <c r="A46" t="s">
        <v>39</v>
      </c>
      <c r="B46" t="s">
        <v>40</v>
      </c>
      <c r="C46" t="s">
        <v>77</v>
      </c>
      <c r="D46" t="s">
        <v>89</v>
      </c>
      <c r="E46" t="s">
        <v>15</v>
      </c>
      <c r="F46" s="4">
        <v>565</v>
      </c>
      <c r="G46" s="9" t="s">
        <v>132</v>
      </c>
      <c r="H46" s="1">
        <v>45237</v>
      </c>
      <c r="I46" t="s">
        <v>17</v>
      </c>
      <c r="J46" t="s">
        <v>133</v>
      </c>
      <c r="K46" t="s">
        <v>56</v>
      </c>
      <c r="L46" s="3">
        <f t="shared" si="0"/>
        <v>32496</v>
      </c>
      <c r="M46" s="3">
        <f t="shared" si="1"/>
        <v>57.515044247787614</v>
      </c>
    </row>
    <row r="47" spans="1:13" x14ac:dyDescent="0.35">
      <c r="A47" t="s">
        <v>39</v>
      </c>
      <c r="B47" t="s">
        <v>40</v>
      </c>
      <c r="C47" t="s">
        <v>27</v>
      </c>
      <c r="D47" t="s">
        <v>22</v>
      </c>
      <c r="E47" t="s">
        <v>15</v>
      </c>
      <c r="F47" s="4">
        <v>293</v>
      </c>
      <c r="G47" s="9" t="s">
        <v>134</v>
      </c>
      <c r="H47" s="1">
        <v>45433</v>
      </c>
      <c r="I47" t="s">
        <v>48</v>
      </c>
      <c r="J47" t="s">
        <v>135</v>
      </c>
      <c r="K47" t="s">
        <v>56</v>
      </c>
      <c r="L47" s="3">
        <f t="shared" si="0"/>
        <v>40588</v>
      </c>
      <c r="M47" s="3">
        <f t="shared" si="1"/>
        <v>138.52559726962457</v>
      </c>
    </row>
    <row r="48" spans="1:13" x14ac:dyDescent="0.35">
      <c r="A48" t="s">
        <v>26</v>
      </c>
      <c r="B48" t="s">
        <v>59</v>
      </c>
      <c r="C48" t="s">
        <v>27</v>
      </c>
      <c r="D48" t="s">
        <v>22</v>
      </c>
      <c r="E48" t="s">
        <v>43</v>
      </c>
      <c r="F48" s="4">
        <v>1032</v>
      </c>
      <c r="G48" s="9" t="s">
        <v>136</v>
      </c>
      <c r="H48" s="1">
        <v>45326</v>
      </c>
      <c r="I48" t="s">
        <v>30</v>
      </c>
      <c r="J48" t="s">
        <v>137</v>
      </c>
      <c r="K48" t="s">
        <v>56</v>
      </c>
      <c r="L48" s="3">
        <f t="shared" si="0"/>
        <v>23173</v>
      </c>
      <c r="M48" s="3">
        <f t="shared" si="1"/>
        <v>22.454457364341085</v>
      </c>
    </row>
    <row r="49" spans="1:13" x14ac:dyDescent="0.35">
      <c r="A49" t="s">
        <v>53</v>
      </c>
      <c r="B49" t="s">
        <v>62</v>
      </c>
      <c r="C49" t="s">
        <v>27</v>
      </c>
      <c r="D49" t="s">
        <v>89</v>
      </c>
      <c r="E49" t="s">
        <v>43</v>
      </c>
      <c r="F49" s="4">
        <v>1315</v>
      </c>
      <c r="G49" s="9" t="s">
        <v>138</v>
      </c>
      <c r="H49" s="1">
        <v>45287</v>
      </c>
      <c r="I49" t="s">
        <v>17</v>
      </c>
      <c r="J49" t="s">
        <v>139</v>
      </c>
      <c r="K49" t="s">
        <v>19</v>
      </c>
      <c r="L49" s="3">
        <f t="shared" si="0"/>
        <v>3801</v>
      </c>
      <c r="M49" s="3">
        <f t="shared" si="1"/>
        <v>2.890494296577947</v>
      </c>
    </row>
    <row r="50" spans="1:13" x14ac:dyDescent="0.35">
      <c r="A50" t="s">
        <v>11</v>
      </c>
      <c r="B50" t="s">
        <v>20</v>
      </c>
      <c r="C50" t="s">
        <v>77</v>
      </c>
      <c r="D50" t="s">
        <v>14</v>
      </c>
      <c r="E50">
        <v>60</v>
      </c>
      <c r="F50" s="4">
        <v>1499</v>
      </c>
      <c r="G50" s="9" t="s">
        <v>140</v>
      </c>
      <c r="H50" s="1">
        <v>45159</v>
      </c>
      <c r="I50" t="s">
        <v>45</v>
      </c>
      <c r="J50" t="s">
        <v>141</v>
      </c>
      <c r="K50" t="s">
        <v>38</v>
      </c>
      <c r="L50" s="3">
        <f t="shared" si="0"/>
        <v>18175</v>
      </c>
      <c r="M50" s="3">
        <f t="shared" si="1"/>
        <v>12.124749833222149</v>
      </c>
    </row>
    <row r="51" spans="1:13" x14ac:dyDescent="0.35">
      <c r="A51" t="s">
        <v>11</v>
      </c>
      <c r="B51" t="s">
        <v>62</v>
      </c>
      <c r="C51" t="s">
        <v>27</v>
      </c>
      <c r="D51" t="s">
        <v>89</v>
      </c>
      <c r="E51" t="s">
        <v>15</v>
      </c>
      <c r="F51" s="4">
        <v>1427</v>
      </c>
      <c r="G51" s="9" t="s">
        <v>142</v>
      </c>
      <c r="H51" s="1">
        <v>45498</v>
      </c>
      <c r="I51" t="s">
        <v>45</v>
      </c>
      <c r="J51" t="s">
        <v>143</v>
      </c>
      <c r="K51" t="s">
        <v>19</v>
      </c>
      <c r="L51" s="3">
        <f t="shared" si="0"/>
        <v>1053</v>
      </c>
      <c r="M51" s="3">
        <f t="shared" si="1"/>
        <v>0.73791170287316044</v>
      </c>
    </row>
    <row r="52" spans="1:13" x14ac:dyDescent="0.35">
      <c r="A52" t="s">
        <v>53</v>
      </c>
      <c r="B52" t="s">
        <v>40</v>
      </c>
      <c r="C52" t="s">
        <v>77</v>
      </c>
      <c r="D52" t="s">
        <v>22</v>
      </c>
      <c r="E52">
        <v>60</v>
      </c>
      <c r="F52" s="4">
        <v>1044</v>
      </c>
      <c r="G52" s="9" t="s">
        <v>144</v>
      </c>
      <c r="H52" s="1">
        <v>45242</v>
      </c>
      <c r="I52" t="s">
        <v>48</v>
      </c>
      <c r="J52" t="s">
        <v>145</v>
      </c>
      <c r="K52" t="s">
        <v>32</v>
      </c>
      <c r="L52" s="3">
        <f t="shared" si="0"/>
        <v>29042</v>
      </c>
      <c r="M52" s="3">
        <f t="shared" si="1"/>
        <v>27.81800766283525</v>
      </c>
    </row>
    <row r="53" spans="1:13" x14ac:dyDescent="0.35">
      <c r="A53" t="s">
        <v>11</v>
      </c>
      <c r="B53" t="s">
        <v>12</v>
      </c>
      <c r="C53" t="s">
        <v>21</v>
      </c>
      <c r="D53" t="s">
        <v>34</v>
      </c>
      <c r="E53">
        <v>60</v>
      </c>
      <c r="F53" s="4">
        <v>257</v>
      </c>
      <c r="G53" s="9" t="s">
        <v>146</v>
      </c>
      <c r="H53" s="1">
        <v>45268</v>
      </c>
      <c r="I53" t="s">
        <v>30</v>
      </c>
      <c r="J53" t="s">
        <v>147</v>
      </c>
      <c r="K53" t="s">
        <v>52</v>
      </c>
      <c r="L53" s="3">
        <f t="shared" si="0"/>
        <v>28677</v>
      </c>
      <c r="M53" s="3">
        <f t="shared" si="1"/>
        <v>111.58365758754864</v>
      </c>
    </row>
    <row r="54" spans="1:13" x14ac:dyDescent="0.35">
      <c r="A54" t="s">
        <v>53</v>
      </c>
      <c r="B54" t="s">
        <v>40</v>
      </c>
      <c r="C54" t="s">
        <v>27</v>
      </c>
      <c r="D54" t="s">
        <v>28</v>
      </c>
      <c r="E54">
        <v>30</v>
      </c>
      <c r="F54" s="4">
        <v>1768</v>
      </c>
      <c r="G54" s="9" t="s">
        <v>148</v>
      </c>
      <c r="H54" s="1">
        <v>45263</v>
      </c>
      <c r="I54" t="s">
        <v>30</v>
      </c>
      <c r="J54" t="s">
        <v>149</v>
      </c>
      <c r="K54" t="s">
        <v>32</v>
      </c>
      <c r="L54" s="3">
        <f t="shared" si="0"/>
        <v>40547</v>
      </c>
      <c r="M54" s="3">
        <f t="shared" si="1"/>
        <v>22.933823529411764</v>
      </c>
    </row>
    <row r="55" spans="1:13" x14ac:dyDescent="0.35">
      <c r="A55" t="s">
        <v>11</v>
      </c>
      <c r="B55" t="s">
        <v>20</v>
      </c>
      <c r="C55" t="s">
        <v>77</v>
      </c>
      <c r="D55" t="s">
        <v>89</v>
      </c>
      <c r="E55" t="s">
        <v>15</v>
      </c>
      <c r="F55" s="4">
        <v>654</v>
      </c>
      <c r="G55" s="9" t="s">
        <v>150</v>
      </c>
      <c r="H55" s="1">
        <v>45243</v>
      </c>
      <c r="I55" t="s">
        <v>36</v>
      </c>
      <c r="J55" t="s">
        <v>151</v>
      </c>
      <c r="K55" t="s">
        <v>32</v>
      </c>
      <c r="L55" s="3">
        <f t="shared" si="0"/>
        <v>16542</v>
      </c>
      <c r="M55" s="3">
        <f t="shared" si="1"/>
        <v>25.293577981651374</v>
      </c>
    </row>
    <row r="56" spans="1:13" x14ac:dyDescent="0.35">
      <c r="A56" t="s">
        <v>39</v>
      </c>
      <c r="B56" t="s">
        <v>62</v>
      </c>
      <c r="C56" t="s">
        <v>13</v>
      </c>
      <c r="D56" t="s">
        <v>14</v>
      </c>
      <c r="E56">
        <v>60</v>
      </c>
      <c r="F56" s="4">
        <v>1137</v>
      </c>
      <c r="G56" s="9" t="s">
        <v>152</v>
      </c>
      <c r="H56" s="1">
        <v>45490</v>
      </c>
      <c r="I56" t="s">
        <v>48</v>
      </c>
      <c r="J56" t="s">
        <v>153</v>
      </c>
      <c r="K56" t="s">
        <v>32</v>
      </c>
      <c r="L56" s="3">
        <f t="shared" si="0"/>
        <v>33706</v>
      </c>
      <c r="M56" s="3">
        <f t="shared" si="1"/>
        <v>29.644678979771328</v>
      </c>
    </row>
    <row r="57" spans="1:13" x14ac:dyDescent="0.35">
      <c r="A57" t="s">
        <v>26</v>
      </c>
      <c r="B57" t="s">
        <v>20</v>
      </c>
      <c r="C57" t="s">
        <v>27</v>
      </c>
      <c r="D57" t="s">
        <v>34</v>
      </c>
      <c r="E57">
        <v>30</v>
      </c>
      <c r="F57" s="4">
        <v>739</v>
      </c>
      <c r="G57" s="9" t="s">
        <v>154</v>
      </c>
      <c r="H57" s="1">
        <v>45268</v>
      </c>
      <c r="I57" t="s">
        <v>17</v>
      </c>
      <c r="J57" t="s">
        <v>155</v>
      </c>
      <c r="K57" t="s">
        <v>38</v>
      </c>
      <c r="L57" s="3">
        <f t="shared" si="0"/>
        <v>38821</v>
      </c>
      <c r="M57" s="3">
        <f t="shared" si="1"/>
        <v>52.531799729364003</v>
      </c>
    </row>
    <row r="58" spans="1:13" x14ac:dyDescent="0.35">
      <c r="A58" t="s">
        <v>53</v>
      </c>
      <c r="B58" t="s">
        <v>20</v>
      </c>
      <c r="C58" t="s">
        <v>27</v>
      </c>
      <c r="D58" t="s">
        <v>34</v>
      </c>
      <c r="E58" t="s">
        <v>23</v>
      </c>
      <c r="F58" s="4">
        <v>1610</v>
      </c>
      <c r="G58" s="9" t="s">
        <v>156</v>
      </c>
      <c r="H58" s="1">
        <v>45198</v>
      </c>
      <c r="I58" t="s">
        <v>48</v>
      </c>
      <c r="J58" t="s">
        <v>157</v>
      </c>
      <c r="K58" t="s">
        <v>38</v>
      </c>
      <c r="L58" s="3">
        <f t="shared" si="0"/>
        <v>5779</v>
      </c>
      <c r="M58" s="3">
        <f t="shared" si="1"/>
        <v>3.5894409937888199</v>
      </c>
    </row>
    <row r="59" spans="1:13" x14ac:dyDescent="0.35">
      <c r="A59" t="s">
        <v>86</v>
      </c>
      <c r="B59" t="s">
        <v>40</v>
      </c>
      <c r="C59" t="s">
        <v>77</v>
      </c>
      <c r="D59" t="s">
        <v>22</v>
      </c>
      <c r="E59">
        <v>60</v>
      </c>
      <c r="F59" s="4">
        <v>1703</v>
      </c>
      <c r="G59" s="9" t="s">
        <v>158</v>
      </c>
      <c r="H59" s="1">
        <v>45324</v>
      </c>
      <c r="I59" t="s">
        <v>30</v>
      </c>
      <c r="J59" t="s">
        <v>159</v>
      </c>
      <c r="K59" t="s">
        <v>32</v>
      </c>
      <c r="L59" s="3">
        <f t="shared" si="0"/>
        <v>7678</v>
      </c>
      <c r="M59" s="3">
        <f t="shared" si="1"/>
        <v>4.5085143863769819</v>
      </c>
    </row>
    <row r="60" spans="1:13" x14ac:dyDescent="0.35">
      <c r="A60" t="s">
        <v>11</v>
      </c>
      <c r="B60" t="s">
        <v>59</v>
      </c>
      <c r="C60" t="s">
        <v>21</v>
      </c>
      <c r="D60" t="s">
        <v>89</v>
      </c>
      <c r="E60">
        <v>60</v>
      </c>
      <c r="F60" s="4">
        <v>1639</v>
      </c>
      <c r="G60" s="9" t="s">
        <v>160</v>
      </c>
      <c r="H60" s="1">
        <v>45184</v>
      </c>
      <c r="I60" t="s">
        <v>45</v>
      </c>
      <c r="J60" t="s">
        <v>161</v>
      </c>
      <c r="K60" t="s">
        <v>38</v>
      </c>
      <c r="L60" s="3">
        <f t="shared" si="0"/>
        <v>15878</v>
      </c>
      <c r="M60" s="3">
        <f t="shared" si="1"/>
        <v>9.6876143990237953</v>
      </c>
    </row>
    <row r="61" spans="1:13" x14ac:dyDescent="0.35">
      <c r="A61" t="s">
        <v>11</v>
      </c>
      <c r="B61" t="s">
        <v>12</v>
      </c>
      <c r="C61" t="s">
        <v>27</v>
      </c>
      <c r="D61" t="s">
        <v>34</v>
      </c>
      <c r="E61" t="s">
        <v>23</v>
      </c>
      <c r="F61" s="4">
        <v>1219</v>
      </c>
      <c r="G61" s="9" t="s">
        <v>162</v>
      </c>
      <c r="H61" s="1">
        <v>45379</v>
      </c>
      <c r="I61" t="s">
        <v>17</v>
      </c>
      <c r="J61" t="s">
        <v>163</v>
      </c>
      <c r="K61" t="s">
        <v>56</v>
      </c>
      <c r="L61" s="3">
        <f t="shared" si="0"/>
        <v>48415</v>
      </c>
      <c r="M61" s="3">
        <f t="shared" si="1"/>
        <v>39.716981132075475</v>
      </c>
    </row>
    <row r="62" spans="1:13" x14ac:dyDescent="0.35">
      <c r="A62" t="s">
        <v>53</v>
      </c>
      <c r="B62" t="s">
        <v>20</v>
      </c>
      <c r="C62" t="s">
        <v>77</v>
      </c>
      <c r="D62" t="s">
        <v>28</v>
      </c>
      <c r="E62" t="s">
        <v>23</v>
      </c>
      <c r="F62" s="4">
        <v>871</v>
      </c>
      <c r="G62" s="9" t="s">
        <v>164</v>
      </c>
      <c r="H62" s="1">
        <v>45292</v>
      </c>
      <c r="I62" t="s">
        <v>36</v>
      </c>
      <c r="J62" t="s">
        <v>165</v>
      </c>
      <c r="K62" t="s">
        <v>32</v>
      </c>
      <c r="L62" s="3">
        <f t="shared" si="0"/>
        <v>41051</v>
      </c>
      <c r="M62" s="3">
        <f t="shared" si="1"/>
        <v>47.130884041331804</v>
      </c>
    </row>
    <row r="63" spans="1:13" x14ac:dyDescent="0.35">
      <c r="A63" t="s">
        <v>39</v>
      </c>
      <c r="B63" t="s">
        <v>12</v>
      </c>
      <c r="C63" t="s">
        <v>21</v>
      </c>
      <c r="D63" t="s">
        <v>89</v>
      </c>
      <c r="E63" t="s">
        <v>15</v>
      </c>
      <c r="F63" s="4">
        <v>995</v>
      </c>
      <c r="G63" s="9" t="s">
        <v>166</v>
      </c>
      <c r="H63" s="1">
        <v>45330</v>
      </c>
      <c r="I63" t="s">
        <v>17</v>
      </c>
      <c r="J63" t="s">
        <v>167</v>
      </c>
      <c r="K63" t="s">
        <v>52</v>
      </c>
      <c r="L63" s="3">
        <f t="shared" si="0"/>
        <v>17900</v>
      </c>
      <c r="M63" s="3">
        <f t="shared" si="1"/>
        <v>17.989949748743719</v>
      </c>
    </row>
    <row r="64" spans="1:13" x14ac:dyDescent="0.35">
      <c r="A64" t="s">
        <v>11</v>
      </c>
      <c r="B64" t="s">
        <v>20</v>
      </c>
      <c r="C64" t="s">
        <v>33</v>
      </c>
      <c r="D64" t="s">
        <v>89</v>
      </c>
      <c r="E64">
        <v>30</v>
      </c>
      <c r="F64" s="4">
        <v>1446</v>
      </c>
      <c r="G64" s="9" t="s">
        <v>168</v>
      </c>
      <c r="H64" s="1">
        <v>45260</v>
      </c>
      <c r="I64" t="s">
        <v>30</v>
      </c>
      <c r="J64" t="s">
        <v>169</v>
      </c>
      <c r="K64" t="s">
        <v>32</v>
      </c>
      <c r="L64" s="3">
        <f t="shared" si="0"/>
        <v>37654</v>
      </c>
      <c r="M64" s="3">
        <f t="shared" si="1"/>
        <v>26.040110650069156</v>
      </c>
    </row>
    <row r="65" spans="1:13" x14ac:dyDescent="0.35">
      <c r="A65" t="s">
        <v>11</v>
      </c>
      <c r="B65" t="s">
        <v>20</v>
      </c>
      <c r="C65" t="s">
        <v>13</v>
      </c>
      <c r="D65" t="s">
        <v>34</v>
      </c>
      <c r="E65">
        <v>60</v>
      </c>
      <c r="F65" s="4">
        <v>1269</v>
      </c>
      <c r="G65" s="9" t="s">
        <v>170</v>
      </c>
      <c r="H65" s="1">
        <v>45250</v>
      </c>
      <c r="I65" t="s">
        <v>48</v>
      </c>
      <c r="J65" t="s">
        <v>171</v>
      </c>
      <c r="K65" t="s">
        <v>52</v>
      </c>
      <c r="L65" s="3">
        <f t="shared" si="0"/>
        <v>22319</v>
      </c>
      <c r="M65" s="3">
        <f t="shared" si="1"/>
        <v>17.587864460204887</v>
      </c>
    </row>
    <row r="66" spans="1:13" x14ac:dyDescent="0.35">
      <c r="A66" t="s">
        <v>53</v>
      </c>
      <c r="B66" t="s">
        <v>12</v>
      </c>
      <c r="C66" t="s">
        <v>77</v>
      </c>
      <c r="D66" t="s">
        <v>28</v>
      </c>
      <c r="E66" t="s">
        <v>43</v>
      </c>
      <c r="F66" s="4">
        <v>1232</v>
      </c>
      <c r="G66" s="9" t="s">
        <v>172</v>
      </c>
      <c r="H66" s="1">
        <v>45377</v>
      </c>
      <c r="I66" t="s">
        <v>45</v>
      </c>
      <c r="J66" t="s">
        <v>173</v>
      </c>
      <c r="K66" t="s">
        <v>32</v>
      </c>
      <c r="L66" s="3">
        <f t="shared" ref="L66:L129" si="2">VALUE(SUBSTITUTE(G66,"$",""))</f>
        <v>19247</v>
      </c>
      <c r="M66" s="3">
        <f t="shared" si="1"/>
        <v>15.622564935064934</v>
      </c>
    </row>
    <row r="67" spans="1:13" x14ac:dyDescent="0.35">
      <c r="A67" t="s">
        <v>53</v>
      </c>
      <c r="B67" t="s">
        <v>20</v>
      </c>
      <c r="C67" t="s">
        <v>13</v>
      </c>
      <c r="D67" t="s">
        <v>28</v>
      </c>
      <c r="E67">
        <v>30</v>
      </c>
      <c r="F67" s="4">
        <v>814</v>
      </c>
      <c r="G67" s="9" t="s">
        <v>174</v>
      </c>
      <c r="H67" s="1">
        <v>45283</v>
      </c>
      <c r="I67" t="s">
        <v>17</v>
      </c>
      <c r="J67" t="s">
        <v>175</v>
      </c>
      <c r="K67" t="s">
        <v>52</v>
      </c>
      <c r="L67" s="3">
        <f t="shared" si="2"/>
        <v>25411</v>
      </c>
      <c r="M67" s="3">
        <f t="shared" ref="M67:M130" si="3">VALUE(SUBSTITUTE(SUBSTITUTE(G67,"$",""),",",""))/F67</f>
        <v>31.217444717444717</v>
      </c>
    </row>
    <row r="68" spans="1:13" x14ac:dyDescent="0.35">
      <c r="A68" t="s">
        <v>11</v>
      </c>
      <c r="B68" t="s">
        <v>40</v>
      </c>
      <c r="C68" t="s">
        <v>77</v>
      </c>
      <c r="D68" t="s">
        <v>34</v>
      </c>
      <c r="E68" t="s">
        <v>23</v>
      </c>
      <c r="F68" s="4">
        <v>157</v>
      </c>
      <c r="G68" s="9" t="s">
        <v>176</v>
      </c>
      <c r="H68" s="1">
        <v>45405</v>
      </c>
      <c r="I68" t="s">
        <v>17</v>
      </c>
      <c r="J68" t="s">
        <v>177</v>
      </c>
      <c r="K68" t="s">
        <v>56</v>
      </c>
      <c r="L68" s="3">
        <f t="shared" si="2"/>
        <v>3809</v>
      </c>
      <c r="M68" s="3">
        <f t="shared" si="3"/>
        <v>24.261146496815286</v>
      </c>
    </row>
    <row r="69" spans="1:13" x14ac:dyDescent="0.35">
      <c r="A69" t="s">
        <v>53</v>
      </c>
      <c r="B69" t="s">
        <v>59</v>
      </c>
      <c r="C69" t="s">
        <v>77</v>
      </c>
      <c r="D69" t="s">
        <v>34</v>
      </c>
      <c r="E69">
        <v>30</v>
      </c>
      <c r="F69" s="4">
        <v>272</v>
      </c>
      <c r="G69" s="9" t="s">
        <v>178</v>
      </c>
      <c r="H69" s="1">
        <v>45482</v>
      </c>
      <c r="I69" t="s">
        <v>17</v>
      </c>
      <c r="J69" t="s">
        <v>179</v>
      </c>
      <c r="K69" t="s">
        <v>38</v>
      </c>
      <c r="L69" s="3">
        <f t="shared" si="2"/>
        <v>39524</v>
      </c>
      <c r="M69" s="3">
        <f t="shared" si="3"/>
        <v>145.30882352941177</v>
      </c>
    </row>
    <row r="70" spans="1:13" x14ac:dyDescent="0.35">
      <c r="A70" t="s">
        <v>11</v>
      </c>
      <c r="B70" t="s">
        <v>12</v>
      </c>
      <c r="C70" t="s">
        <v>21</v>
      </c>
      <c r="D70" t="s">
        <v>22</v>
      </c>
      <c r="E70" t="s">
        <v>15</v>
      </c>
      <c r="F70" s="4">
        <v>1222</v>
      </c>
      <c r="G70" s="9" t="s">
        <v>180</v>
      </c>
      <c r="H70" s="1">
        <v>45248</v>
      </c>
      <c r="I70" t="s">
        <v>17</v>
      </c>
      <c r="J70" t="s">
        <v>181</v>
      </c>
      <c r="K70" t="s">
        <v>38</v>
      </c>
      <c r="L70" s="3">
        <f t="shared" si="2"/>
        <v>19740</v>
      </c>
      <c r="M70" s="3">
        <f t="shared" si="3"/>
        <v>16.153846153846153</v>
      </c>
    </row>
    <row r="71" spans="1:13" x14ac:dyDescent="0.35">
      <c r="A71" t="s">
        <v>86</v>
      </c>
      <c r="B71" t="s">
        <v>20</v>
      </c>
      <c r="C71" t="s">
        <v>27</v>
      </c>
      <c r="D71" t="s">
        <v>89</v>
      </c>
      <c r="E71" t="s">
        <v>43</v>
      </c>
      <c r="F71" s="4">
        <v>151</v>
      </c>
      <c r="G71" s="9" t="s">
        <v>182</v>
      </c>
      <c r="H71" s="1">
        <v>45332</v>
      </c>
      <c r="I71" t="s">
        <v>45</v>
      </c>
      <c r="J71" t="s">
        <v>183</v>
      </c>
      <c r="K71" t="s">
        <v>32</v>
      </c>
      <c r="L71" s="3">
        <f t="shared" si="2"/>
        <v>18797</v>
      </c>
      <c r="M71" s="3">
        <f t="shared" si="3"/>
        <v>124.48344370860927</v>
      </c>
    </row>
    <row r="72" spans="1:13" x14ac:dyDescent="0.35">
      <c r="A72" t="s">
        <v>86</v>
      </c>
      <c r="B72" t="s">
        <v>40</v>
      </c>
      <c r="C72" t="s">
        <v>27</v>
      </c>
      <c r="D72" t="s">
        <v>22</v>
      </c>
      <c r="E72" t="s">
        <v>43</v>
      </c>
      <c r="F72" s="4">
        <v>798</v>
      </c>
      <c r="G72" s="9" t="s">
        <v>184</v>
      </c>
      <c r="H72" s="1">
        <v>45476</v>
      </c>
      <c r="I72" t="s">
        <v>17</v>
      </c>
      <c r="J72" t="s">
        <v>185</v>
      </c>
      <c r="K72" t="s">
        <v>52</v>
      </c>
      <c r="L72" s="3">
        <f t="shared" si="2"/>
        <v>23785</v>
      </c>
      <c r="M72" s="3">
        <f t="shared" si="3"/>
        <v>29.805764411027567</v>
      </c>
    </row>
    <row r="73" spans="1:13" x14ac:dyDescent="0.35">
      <c r="A73" t="s">
        <v>53</v>
      </c>
      <c r="B73" t="s">
        <v>12</v>
      </c>
      <c r="C73" t="s">
        <v>33</v>
      </c>
      <c r="D73" t="s">
        <v>28</v>
      </c>
      <c r="E73" t="s">
        <v>43</v>
      </c>
      <c r="F73" s="4">
        <v>310</v>
      </c>
      <c r="G73" s="9" t="s">
        <v>186</v>
      </c>
      <c r="H73" s="1">
        <v>45157</v>
      </c>
      <c r="I73" t="s">
        <v>17</v>
      </c>
      <c r="J73" t="s">
        <v>187</v>
      </c>
      <c r="K73" t="s">
        <v>52</v>
      </c>
      <c r="L73" s="3">
        <f t="shared" si="2"/>
        <v>31204</v>
      </c>
      <c r="M73" s="3">
        <f t="shared" si="3"/>
        <v>100.65806451612903</v>
      </c>
    </row>
    <row r="74" spans="1:13" x14ac:dyDescent="0.35">
      <c r="A74" t="s">
        <v>11</v>
      </c>
      <c r="B74" t="s">
        <v>20</v>
      </c>
      <c r="C74" t="s">
        <v>13</v>
      </c>
      <c r="D74" t="s">
        <v>28</v>
      </c>
      <c r="E74" t="s">
        <v>43</v>
      </c>
      <c r="F74" s="4">
        <v>1280</v>
      </c>
      <c r="G74" s="9" t="s">
        <v>188</v>
      </c>
      <c r="H74" s="1">
        <v>45462</v>
      </c>
      <c r="I74" t="s">
        <v>45</v>
      </c>
      <c r="J74" t="s">
        <v>189</v>
      </c>
      <c r="K74" t="s">
        <v>52</v>
      </c>
      <c r="L74" s="3">
        <f t="shared" si="2"/>
        <v>45096</v>
      </c>
      <c r="M74" s="3">
        <f t="shared" si="3"/>
        <v>35.231250000000003</v>
      </c>
    </row>
    <row r="75" spans="1:13" x14ac:dyDescent="0.35">
      <c r="A75" t="s">
        <v>39</v>
      </c>
      <c r="B75" t="s">
        <v>40</v>
      </c>
      <c r="C75" t="s">
        <v>77</v>
      </c>
      <c r="D75" t="s">
        <v>14</v>
      </c>
      <c r="E75" t="s">
        <v>15</v>
      </c>
      <c r="F75" s="4">
        <v>1776</v>
      </c>
      <c r="G75" s="9" t="s">
        <v>190</v>
      </c>
      <c r="H75" s="1">
        <v>45457</v>
      </c>
      <c r="I75" t="s">
        <v>45</v>
      </c>
      <c r="J75" t="s">
        <v>191</v>
      </c>
      <c r="K75" t="s">
        <v>38</v>
      </c>
      <c r="L75" s="3">
        <f t="shared" si="2"/>
        <v>30640</v>
      </c>
      <c r="M75" s="3">
        <f t="shared" si="3"/>
        <v>17.252252252252251</v>
      </c>
    </row>
    <row r="76" spans="1:13" x14ac:dyDescent="0.35">
      <c r="A76" t="s">
        <v>26</v>
      </c>
      <c r="B76" t="s">
        <v>59</v>
      </c>
      <c r="C76" t="s">
        <v>21</v>
      </c>
      <c r="D76" t="s">
        <v>22</v>
      </c>
      <c r="E76">
        <v>30</v>
      </c>
      <c r="F76" s="4">
        <v>784</v>
      </c>
      <c r="G76" s="9" t="s">
        <v>192</v>
      </c>
      <c r="H76" s="1">
        <v>45417</v>
      </c>
      <c r="I76" t="s">
        <v>17</v>
      </c>
      <c r="J76" t="s">
        <v>193</v>
      </c>
      <c r="K76" t="s">
        <v>32</v>
      </c>
      <c r="L76" s="3">
        <f t="shared" si="2"/>
        <v>25665</v>
      </c>
      <c r="M76" s="3">
        <f t="shared" si="3"/>
        <v>32.735969387755105</v>
      </c>
    </row>
    <row r="77" spans="1:13" x14ac:dyDescent="0.35">
      <c r="A77" t="s">
        <v>53</v>
      </c>
      <c r="B77" t="s">
        <v>59</v>
      </c>
      <c r="C77" t="s">
        <v>33</v>
      </c>
      <c r="D77" t="s">
        <v>89</v>
      </c>
      <c r="E77">
        <v>60</v>
      </c>
      <c r="F77" s="4">
        <v>1936</v>
      </c>
      <c r="G77" s="9" t="s">
        <v>194</v>
      </c>
      <c r="H77" s="1">
        <v>45259</v>
      </c>
      <c r="I77" t="s">
        <v>30</v>
      </c>
      <c r="J77" t="s">
        <v>195</v>
      </c>
      <c r="K77" t="s">
        <v>52</v>
      </c>
      <c r="L77" s="3">
        <f t="shared" si="2"/>
        <v>40605</v>
      </c>
      <c r="M77" s="3">
        <f t="shared" si="3"/>
        <v>20.97365702479339</v>
      </c>
    </row>
    <row r="78" spans="1:13" x14ac:dyDescent="0.35">
      <c r="A78" t="s">
        <v>86</v>
      </c>
      <c r="B78" t="s">
        <v>40</v>
      </c>
      <c r="C78" t="s">
        <v>21</v>
      </c>
      <c r="D78" t="s">
        <v>34</v>
      </c>
      <c r="E78" t="s">
        <v>15</v>
      </c>
      <c r="F78" s="4">
        <v>1675</v>
      </c>
      <c r="G78" s="9" t="s">
        <v>196</v>
      </c>
      <c r="H78" s="1">
        <v>45237</v>
      </c>
      <c r="I78" t="s">
        <v>30</v>
      </c>
      <c r="J78" t="s">
        <v>197</v>
      </c>
      <c r="K78" t="s">
        <v>38</v>
      </c>
      <c r="L78" s="3">
        <f t="shared" si="2"/>
        <v>29315</v>
      </c>
      <c r="M78" s="3">
        <f t="shared" si="3"/>
        <v>17.501492537313432</v>
      </c>
    </row>
    <row r="79" spans="1:13" x14ac:dyDescent="0.35">
      <c r="A79" t="s">
        <v>26</v>
      </c>
      <c r="B79" t="s">
        <v>20</v>
      </c>
      <c r="C79" t="s">
        <v>27</v>
      </c>
      <c r="D79" t="s">
        <v>22</v>
      </c>
      <c r="E79" t="s">
        <v>23</v>
      </c>
      <c r="F79" s="4">
        <v>906</v>
      </c>
      <c r="G79" s="9" t="s">
        <v>198</v>
      </c>
      <c r="H79" s="1">
        <v>45159</v>
      </c>
      <c r="I79" t="s">
        <v>17</v>
      </c>
      <c r="J79" t="s">
        <v>199</v>
      </c>
      <c r="K79" t="s">
        <v>52</v>
      </c>
      <c r="L79" s="3">
        <f t="shared" si="2"/>
        <v>10256</v>
      </c>
      <c r="M79" s="3">
        <f t="shared" si="3"/>
        <v>11.32008830022075</v>
      </c>
    </row>
    <row r="80" spans="1:13" x14ac:dyDescent="0.35">
      <c r="A80" t="s">
        <v>39</v>
      </c>
      <c r="B80" t="s">
        <v>20</v>
      </c>
      <c r="C80" t="s">
        <v>21</v>
      </c>
      <c r="D80" t="s">
        <v>34</v>
      </c>
      <c r="E80">
        <v>60</v>
      </c>
      <c r="F80" s="4">
        <v>873</v>
      </c>
      <c r="G80" s="9" t="s">
        <v>200</v>
      </c>
      <c r="H80" s="1">
        <v>45192</v>
      </c>
      <c r="I80" t="s">
        <v>48</v>
      </c>
      <c r="J80" t="s">
        <v>201</v>
      </c>
      <c r="K80" t="s">
        <v>32</v>
      </c>
      <c r="L80" s="3">
        <f t="shared" si="2"/>
        <v>44797</v>
      </c>
      <c r="M80" s="3">
        <f t="shared" si="3"/>
        <v>51.313860252004581</v>
      </c>
    </row>
    <row r="81" spans="1:13" x14ac:dyDescent="0.35">
      <c r="A81" t="s">
        <v>39</v>
      </c>
      <c r="B81" t="s">
        <v>40</v>
      </c>
      <c r="C81" t="s">
        <v>21</v>
      </c>
      <c r="D81" t="s">
        <v>89</v>
      </c>
      <c r="E81">
        <v>30</v>
      </c>
      <c r="F81" s="4">
        <v>1227</v>
      </c>
      <c r="G81" s="9" t="s">
        <v>202</v>
      </c>
      <c r="H81" s="1">
        <v>45421</v>
      </c>
      <c r="I81" t="s">
        <v>17</v>
      </c>
      <c r="J81" t="s">
        <v>203</v>
      </c>
      <c r="K81" t="s">
        <v>38</v>
      </c>
      <c r="L81" s="3">
        <f t="shared" si="2"/>
        <v>37132</v>
      </c>
      <c r="M81" s="3">
        <f t="shared" si="3"/>
        <v>30.262428687856559</v>
      </c>
    </row>
    <row r="82" spans="1:13" x14ac:dyDescent="0.35">
      <c r="A82" t="s">
        <v>39</v>
      </c>
      <c r="B82" t="s">
        <v>59</v>
      </c>
      <c r="C82" t="s">
        <v>27</v>
      </c>
      <c r="D82" t="s">
        <v>22</v>
      </c>
      <c r="E82">
        <v>30</v>
      </c>
      <c r="F82" s="4">
        <v>1921</v>
      </c>
      <c r="G82" s="9" t="s">
        <v>204</v>
      </c>
      <c r="H82" s="1">
        <v>45136</v>
      </c>
      <c r="I82" t="s">
        <v>17</v>
      </c>
      <c r="J82" t="s">
        <v>205</v>
      </c>
      <c r="K82" t="s">
        <v>38</v>
      </c>
      <c r="L82" s="3">
        <f t="shared" si="2"/>
        <v>8234</v>
      </c>
      <c r="M82" s="3">
        <f t="shared" si="3"/>
        <v>4.2863092139510668</v>
      </c>
    </row>
    <row r="83" spans="1:13" x14ac:dyDescent="0.35">
      <c r="A83" t="s">
        <v>53</v>
      </c>
      <c r="B83" t="s">
        <v>62</v>
      </c>
      <c r="C83" t="s">
        <v>77</v>
      </c>
      <c r="D83" t="s">
        <v>22</v>
      </c>
      <c r="E83" t="s">
        <v>43</v>
      </c>
      <c r="F83" s="4">
        <v>1907</v>
      </c>
      <c r="G83" s="9" t="s">
        <v>206</v>
      </c>
      <c r="H83" s="1">
        <v>45387</v>
      </c>
      <c r="I83" t="s">
        <v>36</v>
      </c>
      <c r="J83" t="s">
        <v>207</v>
      </c>
      <c r="K83" t="s">
        <v>52</v>
      </c>
      <c r="L83" s="3">
        <f t="shared" si="2"/>
        <v>11906</v>
      </c>
      <c r="M83" s="3">
        <f t="shared" si="3"/>
        <v>6.2433141059255375</v>
      </c>
    </row>
    <row r="84" spans="1:13" x14ac:dyDescent="0.35">
      <c r="A84" t="s">
        <v>86</v>
      </c>
      <c r="B84" t="s">
        <v>59</v>
      </c>
      <c r="C84" t="s">
        <v>21</v>
      </c>
      <c r="D84" t="s">
        <v>34</v>
      </c>
      <c r="E84">
        <v>60</v>
      </c>
      <c r="F84" s="4">
        <v>1766</v>
      </c>
      <c r="G84" s="9" t="s">
        <v>208</v>
      </c>
      <c r="H84" s="1">
        <v>45368</v>
      </c>
      <c r="I84" t="s">
        <v>30</v>
      </c>
      <c r="J84" t="s">
        <v>209</v>
      </c>
      <c r="K84" t="s">
        <v>38</v>
      </c>
      <c r="L84" s="3">
        <f t="shared" si="2"/>
        <v>36835</v>
      </c>
      <c r="M84" s="3">
        <f t="shared" si="3"/>
        <v>20.857870894677237</v>
      </c>
    </row>
    <row r="85" spans="1:13" x14ac:dyDescent="0.35">
      <c r="A85" t="s">
        <v>53</v>
      </c>
      <c r="B85" t="s">
        <v>20</v>
      </c>
      <c r="C85" t="s">
        <v>77</v>
      </c>
      <c r="D85" t="s">
        <v>89</v>
      </c>
      <c r="E85">
        <v>60</v>
      </c>
      <c r="F85" s="4">
        <v>793</v>
      </c>
      <c r="G85" s="9" t="s">
        <v>210</v>
      </c>
      <c r="H85" s="1">
        <v>45256</v>
      </c>
      <c r="I85" t="s">
        <v>30</v>
      </c>
      <c r="J85" t="s">
        <v>211</v>
      </c>
      <c r="K85" t="s">
        <v>32</v>
      </c>
      <c r="L85" s="3">
        <f t="shared" si="2"/>
        <v>45468</v>
      </c>
      <c r="M85" s="3">
        <f t="shared" si="3"/>
        <v>57.336696090794455</v>
      </c>
    </row>
    <row r="86" spans="1:13" x14ac:dyDescent="0.35">
      <c r="A86" t="s">
        <v>53</v>
      </c>
      <c r="B86" t="s">
        <v>12</v>
      </c>
      <c r="C86" t="s">
        <v>21</v>
      </c>
      <c r="D86" t="s">
        <v>28</v>
      </c>
      <c r="E86" t="s">
        <v>23</v>
      </c>
      <c r="F86" s="4">
        <v>1738</v>
      </c>
      <c r="G86" s="9" t="s">
        <v>212</v>
      </c>
      <c r="H86" s="1">
        <v>45343</v>
      </c>
      <c r="I86" t="s">
        <v>17</v>
      </c>
      <c r="J86" t="s">
        <v>213</v>
      </c>
      <c r="K86" t="s">
        <v>56</v>
      </c>
      <c r="L86" s="3">
        <f t="shared" si="2"/>
        <v>22945</v>
      </c>
      <c r="M86" s="3">
        <f t="shared" si="3"/>
        <v>13.201956271576524</v>
      </c>
    </row>
    <row r="87" spans="1:13" x14ac:dyDescent="0.35">
      <c r="A87" t="s">
        <v>39</v>
      </c>
      <c r="B87" t="s">
        <v>62</v>
      </c>
      <c r="C87" t="s">
        <v>13</v>
      </c>
      <c r="D87" t="s">
        <v>89</v>
      </c>
      <c r="E87" t="s">
        <v>23</v>
      </c>
      <c r="F87" s="4">
        <v>1088</v>
      </c>
      <c r="G87" s="9" t="s">
        <v>214</v>
      </c>
      <c r="H87" s="1">
        <v>45481</v>
      </c>
      <c r="I87" t="s">
        <v>17</v>
      </c>
      <c r="J87" t="s">
        <v>215</v>
      </c>
      <c r="K87" t="s">
        <v>52</v>
      </c>
      <c r="L87" s="3">
        <f t="shared" si="2"/>
        <v>46398</v>
      </c>
      <c r="M87" s="3">
        <f t="shared" si="3"/>
        <v>42.645220588235297</v>
      </c>
    </row>
    <row r="88" spans="1:13" x14ac:dyDescent="0.35">
      <c r="A88" t="s">
        <v>39</v>
      </c>
      <c r="B88" t="s">
        <v>12</v>
      </c>
      <c r="C88" t="s">
        <v>33</v>
      </c>
      <c r="D88" t="s">
        <v>89</v>
      </c>
      <c r="E88" t="s">
        <v>23</v>
      </c>
      <c r="F88" s="4">
        <v>643</v>
      </c>
      <c r="G88" s="9" t="s">
        <v>216</v>
      </c>
      <c r="H88" s="1">
        <v>45452</v>
      </c>
      <c r="I88" t="s">
        <v>30</v>
      </c>
      <c r="J88" t="s">
        <v>217</v>
      </c>
      <c r="K88" t="s">
        <v>32</v>
      </c>
      <c r="L88" s="3">
        <f t="shared" si="2"/>
        <v>1303</v>
      </c>
      <c r="M88" s="3">
        <f t="shared" si="3"/>
        <v>2.0264385692068427</v>
      </c>
    </row>
    <row r="89" spans="1:13" x14ac:dyDescent="0.35">
      <c r="A89" t="s">
        <v>86</v>
      </c>
      <c r="B89" t="s">
        <v>20</v>
      </c>
      <c r="C89" t="s">
        <v>77</v>
      </c>
      <c r="D89" t="s">
        <v>89</v>
      </c>
      <c r="E89" t="s">
        <v>43</v>
      </c>
      <c r="F89" s="4">
        <v>1498</v>
      </c>
      <c r="G89" s="9" t="s">
        <v>218</v>
      </c>
      <c r="H89" s="1">
        <v>45500</v>
      </c>
      <c r="I89" t="s">
        <v>17</v>
      </c>
      <c r="J89" t="s">
        <v>219</v>
      </c>
      <c r="K89" t="s">
        <v>32</v>
      </c>
      <c r="L89" s="3">
        <f t="shared" si="2"/>
        <v>33259</v>
      </c>
      <c r="M89" s="3">
        <f t="shared" si="3"/>
        <v>22.202269692923899</v>
      </c>
    </row>
    <row r="90" spans="1:13" x14ac:dyDescent="0.35">
      <c r="A90" t="s">
        <v>26</v>
      </c>
      <c r="B90" t="s">
        <v>40</v>
      </c>
      <c r="C90" t="s">
        <v>33</v>
      </c>
      <c r="D90" t="s">
        <v>89</v>
      </c>
      <c r="E90">
        <v>30</v>
      </c>
      <c r="F90" s="4">
        <v>1558</v>
      </c>
      <c r="G90" s="9" t="s">
        <v>220</v>
      </c>
      <c r="H90" s="1">
        <v>45275</v>
      </c>
      <c r="I90" t="s">
        <v>36</v>
      </c>
      <c r="J90" t="s">
        <v>221</v>
      </c>
      <c r="K90" t="s">
        <v>32</v>
      </c>
      <c r="L90" s="3">
        <f t="shared" si="2"/>
        <v>8553</v>
      </c>
      <c r="M90" s="3">
        <f t="shared" si="3"/>
        <v>5.4897304236200259</v>
      </c>
    </row>
    <row r="91" spans="1:13" x14ac:dyDescent="0.35">
      <c r="A91" t="s">
        <v>86</v>
      </c>
      <c r="B91" t="s">
        <v>59</v>
      </c>
      <c r="C91" t="s">
        <v>27</v>
      </c>
      <c r="D91" t="s">
        <v>28</v>
      </c>
      <c r="E91">
        <v>30</v>
      </c>
      <c r="F91" s="4">
        <v>1423</v>
      </c>
      <c r="G91" s="9" t="s">
        <v>222</v>
      </c>
      <c r="H91" s="1">
        <v>45287</v>
      </c>
      <c r="I91" t="s">
        <v>36</v>
      </c>
      <c r="J91" t="s">
        <v>223</v>
      </c>
      <c r="K91" t="s">
        <v>52</v>
      </c>
      <c r="L91" s="3">
        <f t="shared" si="2"/>
        <v>28304</v>
      </c>
      <c r="M91" s="3">
        <f t="shared" si="3"/>
        <v>19.890372452565003</v>
      </c>
    </row>
    <row r="92" spans="1:13" x14ac:dyDescent="0.35">
      <c r="A92" t="s">
        <v>86</v>
      </c>
      <c r="B92" t="s">
        <v>40</v>
      </c>
      <c r="C92" t="s">
        <v>27</v>
      </c>
      <c r="D92" t="s">
        <v>14</v>
      </c>
      <c r="E92" t="s">
        <v>43</v>
      </c>
      <c r="F92" s="4">
        <v>1777</v>
      </c>
      <c r="G92" s="9" t="s">
        <v>224</v>
      </c>
      <c r="H92" s="1">
        <v>45333</v>
      </c>
      <c r="I92" t="s">
        <v>17</v>
      </c>
      <c r="J92" t="s">
        <v>225</v>
      </c>
      <c r="K92" t="s">
        <v>38</v>
      </c>
      <c r="L92" s="3">
        <f t="shared" si="2"/>
        <v>33795</v>
      </c>
      <c r="M92" s="3">
        <f t="shared" si="3"/>
        <v>19.01800787844682</v>
      </c>
    </row>
    <row r="93" spans="1:13" x14ac:dyDescent="0.35">
      <c r="A93" t="s">
        <v>26</v>
      </c>
      <c r="B93" t="s">
        <v>40</v>
      </c>
      <c r="C93" t="s">
        <v>13</v>
      </c>
      <c r="D93" t="s">
        <v>89</v>
      </c>
      <c r="E93" t="s">
        <v>23</v>
      </c>
      <c r="F93" s="4">
        <v>1908</v>
      </c>
      <c r="G93" s="9" t="s">
        <v>226</v>
      </c>
      <c r="H93" s="1">
        <v>45233</v>
      </c>
      <c r="I93" t="s">
        <v>36</v>
      </c>
      <c r="J93" t="s">
        <v>227</v>
      </c>
      <c r="K93" t="s">
        <v>19</v>
      </c>
      <c r="L93" s="3">
        <f t="shared" si="2"/>
        <v>34115</v>
      </c>
      <c r="M93" s="3">
        <f t="shared" si="3"/>
        <v>17.879979035639412</v>
      </c>
    </row>
    <row r="94" spans="1:13" x14ac:dyDescent="0.35">
      <c r="A94" t="s">
        <v>39</v>
      </c>
      <c r="B94" t="s">
        <v>20</v>
      </c>
      <c r="C94" t="s">
        <v>27</v>
      </c>
      <c r="D94" t="s">
        <v>34</v>
      </c>
      <c r="E94" t="s">
        <v>23</v>
      </c>
      <c r="F94" s="4">
        <v>1291</v>
      </c>
      <c r="G94" s="9" t="s">
        <v>228</v>
      </c>
      <c r="H94" s="1">
        <v>45298</v>
      </c>
      <c r="I94" t="s">
        <v>45</v>
      </c>
      <c r="J94" t="s">
        <v>229</v>
      </c>
      <c r="K94" t="s">
        <v>38</v>
      </c>
      <c r="L94" s="3">
        <f t="shared" si="2"/>
        <v>30051</v>
      </c>
      <c r="M94" s="3">
        <f t="shared" si="3"/>
        <v>23.27730441518203</v>
      </c>
    </row>
    <row r="95" spans="1:13" x14ac:dyDescent="0.35">
      <c r="A95" t="s">
        <v>53</v>
      </c>
      <c r="B95" t="s">
        <v>40</v>
      </c>
      <c r="C95" t="s">
        <v>13</v>
      </c>
      <c r="D95" t="s">
        <v>28</v>
      </c>
      <c r="E95" t="s">
        <v>43</v>
      </c>
      <c r="F95" s="4">
        <v>1702</v>
      </c>
      <c r="G95" s="9" t="s">
        <v>230</v>
      </c>
      <c r="H95" s="1">
        <v>45151</v>
      </c>
      <c r="I95" t="s">
        <v>17</v>
      </c>
      <c r="J95" t="s">
        <v>231</v>
      </c>
      <c r="K95" t="s">
        <v>38</v>
      </c>
      <c r="L95" s="3">
        <f t="shared" si="2"/>
        <v>29950</v>
      </c>
      <c r="M95" s="3">
        <f t="shared" si="3"/>
        <v>17.596944770857814</v>
      </c>
    </row>
    <row r="96" spans="1:13" x14ac:dyDescent="0.35">
      <c r="A96" t="s">
        <v>26</v>
      </c>
      <c r="B96" t="s">
        <v>62</v>
      </c>
      <c r="C96" t="s">
        <v>33</v>
      </c>
      <c r="D96" t="s">
        <v>22</v>
      </c>
      <c r="E96">
        <v>60</v>
      </c>
      <c r="F96" s="4">
        <v>1367</v>
      </c>
      <c r="G96" s="9" t="s">
        <v>232</v>
      </c>
      <c r="H96" s="1">
        <v>45395</v>
      </c>
      <c r="I96" t="s">
        <v>30</v>
      </c>
      <c r="J96" t="s">
        <v>233</v>
      </c>
      <c r="K96" t="s">
        <v>38</v>
      </c>
      <c r="L96" s="3">
        <f t="shared" si="2"/>
        <v>30714</v>
      </c>
      <c r="M96" s="3">
        <f t="shared" si="3"/>
        <v>22.468178493050477</v>
      </c>
    </row>
    <row r="97" spans="1:13" x14ac:dyDescent="0.35">
      <c r="A97" t="s">
        <v>86</v>
      </c>
      <c r="B97" t="s">
        <v>40</v>
      </c>
      <c r="C97" t="s">
        <v>13</v>
      </c>
      <c r="D97" t="s">
        <v>14</v>
      </c>
      <c r="E97">
        <v>30</v>
      </c>
      <c r="F97" s="4">
        <v>1583</v>
      </c>
      <c r="G97" s="9" t="s">
        <v>234</v>
      </c>
      <c r="H97" s="1">
        <v>45165</v>
      </c>
      <c r="I97" t="s">
        <v>36</v>
      </c>
      <c r="J97" t="s">
        <v>235</v>
      </c>
      <c r="K97" t="s">
        <v>56</v>
      </c>
      <c r="L97" s="3">
        <f t="shared" si="2"/>
        <v>45689</v>
      </c>
      <c r="M97" s="3">
        <f t="shared" si="3"/>
        <v>28.862286797220467</v>
      </c>
    </row>
    <row r="98" spans="1:13" x14ac:dyDescent="0.35">
      <c r="A98" t="s">
        <v>26</v>
      </c>
      <c r="B98" t="s">
        <v>40</v>
      </c>
      <c r="C98" t="s">
        <v>27</v>
      </c>
      <c r="D98" t="s">
        <v>22</v>
      </c>
      <c r="E98" t="s">
        <v>23</v>
      </c>
      <c r="F98" s="4">
        <v>848</v>
      </c>
      <c r="G98" s="9" t="s">
        <v>236</v>
      </c>
      <c r="H98" s="1">
        <v>45366</v>
      </c>
      <c r="I98" t="s">
        <v>17</v>
      </c>
      <c r="J98" t="s">
        <v>237</v>
      </c>
      <c r="K98" t="s">
        <v>56</v>
      </c>
      <c r="L98" s="3">
        <f t="shared" si="2"/>
        <v>35016</v>
      </c>
      <c r="M98" s="3">
        <f t="shared" si="3"/>
        <v>41.29245283018868</v>
      </c>
    </row>
    <row r="99" spans="1:13" x14ac:dyDescent="0.35">
      <c r="A99" t="s">
        <v>11</v>
      </c>
      <c r="B99" t="s">
        <v>59</v>
      </c>
      <c r="C99" t="s">
        <v>77</v>
      </c>
      <c r="D99" t="s">
        <v>34</v>
      </c>
      <c r="E99" t="s">
        <v>23</v>
      </c>
      <c r="F99" s="4">
        <v>1886</v>
      </c>
      <c r="G99" s="9" t="s">
        <v>238</v>
      </c>
      <c r="H99" s="1">
        <v>45453</v>
      </c>
      <c r="I99" t="s">
        <v>48</v>
      </c>
      <c r="J99" t="s">
        <v>239</v>
      </c>
      <c r="K99" t="s">
        <v>56</v>
      </c>
      <c r="L99" s="3">
        <f t="shared" si="2"/>
        <v>11515</v>
      </c>
      <c r="M99" s="3">
        <f t="shared" si="3"/>
        <v>6.1055143160127257</v>
      </c>
    </row>
    <row r="100" spans="1:13" x14ac:dyDescent="0.35">
      <c r="A100" t="s">
        <v>86</v>
      </c>
      <c r="B100" t="s">
        <v>40</v>
      </c>
      <c r="C100" t="s">
        <v>13</v>
      </c>
      <c r="D100" t="s">
        <v>89</v>
      </c>
      <c r="E100" t="s">
        <v>15</v>
      </c>
      <c r="F100" s="4">
        <v>1391</v>
      </c>
      <c r="G100" s="9" t="s">
        <v>240</v>
      </c>
      <c r="H100" s="1">
        <v>45186</v>
      </c>
      <c r="I100" t="s">
        <v>17</v>
      </c>
      <c r="J100" t="s">
        <v>241</v>
      </c>
      <c r="K100" t="s">
        <v>56</v>
      </c>
      <c r="L100" s="3">
        <f t="shared" si="2"/>
        <v>49897</v>
      </c>
      <c r="M100" s="3">
        <f t="shared" si="3"/>
        <v>35.871315600287566</v>
      </c>
    </row>
    <row r="101" spans="1:13" x14ac:dyDescent="0.35">
      <c r="A101" t="s">
        <v>39</v>
      </c>
      <c r="B101" t="s">
        <v>62</v>
      </c>
      <c r="C101" t="s">
        <v>33</v>
      </c>
      <c r="D101" t="s">
        <v>89</v>
      </c>
      <c r="E101">
        <v>60</v>
      </c>
      <c r="F101" s="4">
        <v>536</v>
      </c>
      <c r="G101" s="9" t="s">
        <v>242</v>
      </c>
      <c r="H101" s="1">
        <v>45206</v>
      </c>
      <c r="I101" t="s">
        <v>30</v>
      </c>
      <c r="J101" t="s">
        <v>243</v>
      </c>
      <c r="K101" t="s">
        <v>52</v>
      </c>
      <c r="L101" s="3">
        <f t="shared" si="2"/>
        <v>12572</v>
      </c>
      <c r="M101" s="3">
        <f t="shared" si="3"/>
        <v>23.455223880597014</v>
      </c>
    </row>
    <row r="102" spans="1:13" x14ac:dyDescent="0.35">
      <c r="A102" t="s">
        <v>11</v>
      </c>
      <c r="B102" t="s">
        <v>62</v>
      </c>
      <c r="C102" t="s">
        <v>33</v>
      </c>
      <c r="D102" t="s">
        <v>22</v>
      </c>
      <c r="E102">
        <v>60</v>
      </c>
      <c r="F102" s="4">
        <v>1999</v>
      </c>
      <c r="G102" s="9" t="s">
        <v>244</v>
      </c>
      <c r="H102" s="1">
        <v>45367</v>
      </c>
      <c r="I102" t="s">
        <v>17</v>
      </c>
      <c r="J102" t="s">
        <v>245</v>
      </c>
      <c r="K102" t="s">
        <v>38</v>
      </c>
      <c r="L102" s="3">
        <f t="shared" si="2"/>
        <v>40809</v>
      </c>
      <c r="M102" s="3">
        <f t="shared" si="3"/>
        <v>20.414707353676839</v>
      </c>
    </row>
    <row r="103" spans="1:13" x14ac:dyDescent="0.35">
      <c r="A103" t="s">
        <v>86</v>
      </c>
      <c r="B103" t="s">
        <v>62</v>
      </c>
      <c r="C103" t="s">
        <v>13</v>
      </c>
      <c r="D103" t="s">
        <v>89</v>
      </c>
      <c r="E103" t="s">
        <v>43</v>
      </c>
      <c r="F103" s="4">
        <v>1192</v>
      </c>
      <c r="G103" s="9" t="s">
        <v>246</v>
      </c>
      <c r="H103" s="1">
        <v>45493</v>
      </c>
      <c r="I103" t="s">
        <v>30</v>
      </c>
      <c r="J103" t="s">
        <v>247</v>
      </c>
      <c r="K103" t="s">
        <v>19</v>
      </c>
      <c r="L103" s="3">
        <f t="shared" si="2"/>
        <v>39757</v>
      </c>
      <c r="M103" s="3">
        <f t="shared" si="3"/>
        <v>33.353187919463089</v>
      </c>
    </row>
    <row r="104" spans="1:13" x14ac:dyDescent="0.35">
      <c r="A104" t="s">
        <v>86</v>
      </c>
      <c r="B104" t="s">
        <v>12</v>
      </c>
      <c r="C104" t="s">
        <v>21</v>
      </c>
      <c r="D104" t="s">
        <v>89</v>
      </c>
      <c r="E104" t="s">
        <v>15</v>
      </c>
      <c r="F104" s="4">
        <v>846</v>
      </c>
      <c r="G104" s="9" t="s">
        <v>248</v>
      </c>
      <c r="H104" s="1">
        <v>45205</v>
      </c>
      <c r="I104" t="s">
        <v>48</v>
      </c>
      <c r="J104" t="s">
        <v>249</v>
      </c>
      <c r="K104" t="s">
        <v>38</v>
      </c>
      <c r="L104" s="3">
        <f t="shared" si="2"/>
        <v>2237</v>
      </c>
      <c r="M104" s="3">
        <f t="shared" si="3"/>
        <v>2.644208037825059</v>
      </c>
    </row>
    <row r="105" spans="1:13" x14ac:dyDescent="0.35">
      <c r="A105" t="s">
        <v>53</v>
      </c>
      <c r="B105" t="s">
        <v>20</v>
      </c>
      <c r="C105" t="s">
        <v>33</v>
      </c>
      <c r="D105" t="s">
        <v>22</v>
      </c>
      <c r="E105" t="s">
        <v>43</v>
      </c>
      <c r="F105" s="4">
        <v>731</v>
      </c>
      <c r="G105" s="9" t="s">
        <v>250</v>
      </c>
      <c r="H105" s="1">
        <v>45222</v>
      </c>
      <c r="I105" t="s">
        <v>30</v>
      </c>
      <c r="J105" t="s">
        <v>251</v>
      </c>
      <c r="K105" t="s">
        <v>38</v>
      </c>
      <c r="L105" s="3">
        <f t="shared" si="2"/>
        <v>35093</v>
      </c>
      <c r="M105" s="3">
        <f t="shared" si="3"/>
        <v>48.00683994528044</v>
      </c>
    </row>
    <row r="106" spans="1:13" x14ac:dyDescent="0.35">
      <c r="A106" t="s">
        <v>53</v>
      </c>
      <c r="B106" t="s">
        <v>12</v>
      </c>
      <c r="C106" t="s">
        <v>13</v>
      </c>
      <c r="D106" t="s">
        <v>14</v>
      </c>
      <c r="E106">
        <v>30</v>
      </c>
      <c r="F106" s="4">
        <v>1943</v>
      </c>
      <c r="G106" s="9" t="s">
        <v>252</v>
      </c>
      <c r="H106" s="1">
        <v>45431</v>
      </c>
      <c r="I106" t="s">
        <v>36</v>
      </c>
      <c r="J106" t="s">
        <v>253</v>
      </c>
      <c r="K106" t="s">
        <v>38</v>
      </c>
      <c r="L106" s="3">
        <f t="shared" si="2"/>
        <v>44592</v>
      </c>
      <c r="M106" s="3">
        <f t="shared" si="3"/>
        <v>22.950077200205868</v>
      </c>
    </row>
    <row r="107" spans="1:13" x14ac:dyDescent="0.35">
      <c r="A107" t="s">
        <v>53</v>
      </c>
      <c r="B107" t="s">
        <v>59</v>
      </c>
      <c r="C107" t="s">
        <v>27</v>
      </c>
      <c r="D107" t="s">
        <v>14</v>
      </c>
      <c r="E107">
        <v>60</v>
      </c>
      <c r="F107" s="4">
        <v>1017</v>
      </c>
      <c r="G107" s="9" t="s">
        <v>254</v>
      </c>
      <c r="H107" s="1">
        <v>45217</v>
      </c>
      <c r="I107" t="s">
        <v>36</v>
      </c>
      <c r="J107" t="s">
        <v>255</v>
      </c>
      <c r="K107" t="s">
        <v>32</v>
      </c>
      <c r="L107" s="3">
        <f t="shared" si="2"/>
        <v>29700</v>
      </c>
      <c r="M107" s="3">
        <f t="shared" si="3"/>
        <v>29.20353982300885</v>
      </c>
    </row>
    <row r="108" spans="1:13" x14ac:dyDescent="0.35">
      <c r="A108" t="s">
        <v>53</v>
      </c>
      <c r="B108" t="s">
        <v>20</v>
      </c>
      <c r="C108" t="s">
        <v>21</v>
      </c>
      <c r="D108" t="s">
        <v>22</v>
      </c>
      <c r="E108" t="s">
        <v>43</v>
      </c>
      <c r="F108" s="4">
        <v>929</v>
      </c>
      <c r="G108" s="9" t="s">
        <v>256</v>
      </c>
      <c r="H108" s="1">
        <v>45496</v>
      </c>
      <c r="I108" t="s">
        <v>48</v>
      </c>
      <c r="J108" t="s">
        <v>257</v>
      </c>
      <c r="K108" t="s">
        <v>19</v>
      </c>
      <c r="L108" s="3">
        <f t="shared" si="2"/>
        <v>37018</v>
      </c>
      <c r="M108" s="3">
        <f t="shared" si="3"/>
        <v>39.847147470398276</v>
      </c>
    </row>
    <row r="109" spans="1:13" x14ac:dyDescent="0.35">
      <c r="A109" t="s">
        <v>86</v>
      </c>
      <c r="B109" t="s">
        <v>62</v>
      </c>
      <c r="C109" t="s">
        <v>27</v>
      </c>
      <c r="D109" t="s">
        <v>34</v>
      </c>
      <c r="E109">
        <v>60</v>
      </c>
      <c r="F109" s="4">
        <v>811</v>
      </c>
      <c r="G109" s="9" t="s">
        <v>258</v>
      </c>
      <c r="H109" s="1">
        <v>45250</v>
      </c>
      <c r="I109" t="s">
        <v>17</v>
      </c>
      <c r="J109" t="s">
        <v>259</v>
      </c>
      <c r="K109" t="s">
        <v>52</v>
      </c>
      <c r="L109" s="3">
        <f t="shared" si="2"/>
        <v>44885</v>
      </c>
      <c r="M109" s="3">
        <f t="shared" si="3"/>
        <v>55.345252774352652</v>
      </c>
    </row>
    <row r="110" spans="1:13" x14ac:dyDescent="0.35">
      <c r="A110" t="s">
        <v>26</v>
      </c>
      <c r="B110" t="s">
        <v>59</v>
      </c>
      <c r="C110" t="s">
        <v>77</v>
      </c>
      <c r="D110" t="s">
        <v>22</v>
      </c>
      <c r="E110">
        <v>60</v>
      </c>
      <c r="F110" s="4">
        <v>820</v>
      </c>
      <c r="G110" s="9" t="s">
        <v>260</v>
      </c>
      <c r="H110" s="1">
        <v>45322</v>
      </c>
      <c r="I110" t="s">
        <v>30</v>
      </c>
      <c r="J110" t="s">
        <v>261</v>
      </c>
      <c r="K110" t="s">
        <v>52</v>
      </c>
      <c r="L110" s="3">
        <f t="shared" si="2"/>
        <v>14086</v>
      </c>
      <c r="M110" s="3">
        <f t="shared" si="3"/>
        <v>17.178048780487806</v>
      </c>
    </row>
    <row r="111" spans="1:13" x14ac:dyDescent="0.35">
      <c r="A111" t="s">
        <v>53</v>
      </c>
      <c r="B111" t="s">
        <v>20</v>
      </c>
      <c r="C111" t="s">
        <v>77</v>
      </c>
      <c r="D111" t="s">
        <v>14</v>
      </c>
      <c r="E111">
        <v>60</v>
      </c>
      <c r="F111" s="4">
        <v>698</v>
      </c>
      <c r="G111" s="9" t="s">
        <v>262</v>
      </c>
      <c r="H111" s="1">
        <v>45499</v>
      </c>
      <c r="I111" t="s">
        <v>30</v>
      </c>
      <c r="J111" t="s">
        <v>263</v>
      </c>
      <c r="K111" t="s">
        <v>52</v>
      </c>
      <c r="L111" s="3">
        <f t="shared" si="2"/>
        <v>27380</v>
      </c>
      <c r="M111" s="3">
        <f t="shared" si="3"/>
        <v>39.226361031518621</v>
      </c>
    </row>
    <row r="112" spans="1:13" x14ac:dyDescent="0.35">
      <c r="A112" t="s">
        <v>39</v>
      </c>
      <c r="B112" t="s">
        <v>59</v>
      </c>
      <c r="C112" t="s">
        <v>27</v>
      </c>
      <c r="D112" t="s">
        <v>89</v>
      </c>
      <c r="E112" t="s">
        <v>43</v>
      </c>
      <c r="F112" s="4">
        <v>679</v>
      </c>
      <c r="G112" s="9" t="s">
        <v>264</v>
      </c>
      <c r="H112" s="1">
        <v>45475</v>
      </c>
      <c r="I112" t="s">
        <v>17</v>
      </c>
      <c r="J112" t="s">
        <v>265</v>
      </c>
      <c r="K112" t="s">
        <v>56</v>
      </c>
      <c r="L112" s="3">
        <f t="shared" si="2"/>
        <v>35477</v>
      </c>
      <c r="M112" s="3">
        <f t="shared" si="3"/>
        <v>52.248895434462447</v>
      </c>
    </row>
    <row r="113" spans="1:13" x14ac:dyDescent="0.35">
      <c r="A113" t="s">
        <v>39</v>
      </c>
      <c r="B113" t="s">
        <v>40</v>
      </c>
      <c r="C113" t="s">
        <v>27</v>
      </c>
      <c r="D113" t="s">
        <v>34</v>
      </c>
      <c r="E113" t="s">
        <v>15</v>
      </c>
      <c r="F113" s="4">
        <v>1225</v>
      </c>
      <c r="G113" s="9" t="s">
        <v>266</v>
      </c>
      <c r="H113" s="1">
        <v>45284</v>
      </c>
      <c r="I113" t="s">
        <v>17</v>
      </c>
      <c r="J113" t="s">
        <v>267</v>
      </c>
      <c r="K113" t="s">
        <v>38</v>
      </c>
      <c r="L113" s="3">
        <f t="shared" si="2"/>
        <v>47265</v>
      </c>
      <c r="M113" s="3">
        <f t="shared" si="3"/>
        <v>38.583673469387755</v>
      </c>
    </row>
    <row r="114" spans="1:13" x14ac:dyDescent="0.35">
      <c r="A114" t="s">
        <v>11</v>
      </c>
      <c r="B114" t="s">
        <v>12</v>
      </c>
      <c r="C114" t="s">
        <v>77</v>
      </c>
      <c r="D114" t="s">
        <v>89</v>
      </c>
      <c r="E114">
        <v>60</v>
      </c>
      <c r="F114" s="4">
        <v>1913</v>
      </c>
      <c r="G114" s="9" t="s">
        <v>268</v>
      </c>
      <c r="H114" s="1">
        <v>45266</v>
      </c>
      <c r="I114" t="s">
        <v>30</v>
      </c>
      <c r="J114" t="s">
        <v>269</v>
      </c>
      <c r="K114" t="s">
        <v>32</v>
      </c>
      <c r="L114" s="3">
        <f t="shared" si="2"/>
        <v>37244</v>
      </c>
      <c r="M114" s="3">
        <f t="shared" si="3"/>
        <v>19.468897020386827</v>
      </c>
    </row>
    <row r="115" spans="1:13" x14ac:dyDescent="0.35">
      <c r="A115" t="s">
        <v>11</v>
      </c>
      <c r="B115" t="s">
        <v>12</v>
      </c>
      <c r="C115" t="s">
        <v>13</v>
      </c>
      <c r="D115" t="s">
        <v>14</v>
      </c>
      <c r="E115" t="s">
        <v>43</v>
      </c>
      <c r="F115" s="4">
        <v>1381</v>
      </c>
      <c r="G115" s="9" t="s">
        <v>270</v>
      </c>
      <c r="H115" s="1">
        <v>45501</v>
      </c>
      <c r="I115" t="s">
        <v>45</v>
      </c>
      <c r="J115" t="s">
        <v>271</v>
      </c>
      <c r="K115" t="s">
        <v>52</v>
      </c>
      <c r="L115" s="3">
        <f t="shared" si="2"/>
        <v>43046</v>
      </c>
      <c r="M115" s="3">
        <f t="shared" si="3"/>
        <v>31.170166545981171</v>
      </c>
    </row>
    <row r="116" spans="1:13" x14ac:dyDescent="0.35">
      <c r="A116" t="s">
        <v>53</v>
      </c>
      <c r="B116" t="s">
        <v>12</v>
      </c>
      <c r="C116" t="s">
        <v>33</v>
      </c>
      <c r="D116" t="s">
        <v>14</v>
      </c>
      <c r="E116" t="s">
        <v>15</v>
      </c>
      <c r="F116" s="4">
        <v>939</v>
      </c>
      <c r="G116" s="9" t="s">
        <v>272</v>
      </c>
      <c r="H116" s="1">
        <v>45262</v>
      </c>
      <c r="I116" t="s">
        <v>36</v>
      </c>
      <c r="J116" t="s">
        <v>273</v>
      </c>
      <c r="K116" t="s">
        <v>56</v>
      </c>
      <c r="L116" s="3">
        <f t="shared" si="2"/>
        <v>37589</v>
      </c>
      <c r="M116" s="3">
        <f t="shared" si="3"/>
        <v>40.030883919062831</v>
      </c>
    </row>
    <row r="117" spans="1:13" x14ac:dyDescent="0.35">
      <c r="A117" t="s">
        <v>11</v>
      </c>
      <c r="B117" t="s">
        <v>62</v>
      </c>
      <c r="C117" t="s">
        <v>33</v>
      </c>
      <c r="D117" t="s">
        <v>34</v>
      </c>
      <c r="E117" t="s">
        <v>43</v>
      </c>
      <c r="F117" s="4">
        <v>472</v>
      </c>
      <c r="G117" s="9" t="s">
        <v>274</v>
      </c>
      <c r="H117" s="1">
        <v>45328</v>
      </c>
      <c r="I117" t="s">
        <v>17</v>
      </c>
      <c r="J117" t="s">
        <v>275</v>
      </c>
      <c r="K117" t="s">
        <v>52</v>
      </c>
      <c r="L117" s="3">
        <f t="shared" si="2"/>
        <v>7516</v>
      </c>
      <c r="M117" s="3">
        <f t="shared" si="3"/>
        <v>15.923728813559322</v>
      </c>
    </row>
    <row r="118" spans="1:13" x14ac:dyDescent="0.35">
      <c r="A118" t="s">
        <v>39</v>
      </c>
      <c r="B118" t="s">
        <v>59</v>
      </c>
      <c r="C118" t="s">
        <v>77</v>
      </c>
      <c r="D118" t="s">
        <v>14</v>
      </c>
      <c r="E118" t="s">
        <v>23</v>
      </c>
      <c r="F118" s="4">
        <v>405</v>
      </c>
      <c r="G118" s="9" t="s">
        <v>276</v>
      </c>
      <c r="H118" s="1">
        <v>45356</v>
      </c>
      <c r="I118" t="s">
        <v>36</v>
      </c>
      <c r="J118" t="s">
        <v>277</v>
      </c>
      <c r="K118" t="s">
        <v>52</v>
      </c>
      <c r="L118" s="3">
        <f t="shared" si="2"/>
        <v>19413</v>
      </c>
      <c r="M118" s="3">
        <f t="shared" si="3"/>
        <v>47.93333333333333</v>
      </c>
    </row>
    <row r="119" spans="1:13" x14ac:dyDescent="0.35">
      <c r="A119" t="s">
        <v>26</v>
      </c>
      <c r="B119" t="s">
        <v>62</v>
      </c>
      <c r="C119" t="s">
        <v>21</v>
      </c>
      <c r="D119" t="s">
        <v>28</v>
      </c>
      <c r="E119" t="s">
        <v>43</v>
      </c>
      <c r="F119" s="4">
        <v>383</v>
      </c>
      <c r="G119" s="9" t="s">
        <v>278</v>
      </c>
      <c r="H119" s="1">
        <v>45220</v>
      </c>
      <c r="I119" t="s">
        <v>48</v>
      </c>
      <c r="J119" t="s">
        <v>279</v>
      </c>
      <c r="K119" t="s">
        <v>52</v>
      </c>
      <c r="L119" s="3">
        <f t="shared" si="2"/>
        <v>9225</v>
      </c>
      <c r="M119" s="3">
        <f t="shared" si="3"/>
        <v>24.08616187989556</v>
      </c>
    </row>
    <row r="120" spans="1:13" x14ac:dyDescent="0.35">
      <c r="A120" t="s">
        <v>39</v>
      </c>
      <c r="B120" t="s">
        <v>62</v>
      </c>
      <c r="C120" t="s">
        <v>77</v>
      </c>
      <c r="D120" t="s">
        <v>14</v>
      </c>
      <c r="E120" t="s">
        <v>43</v>
      </c>
      <c r="F120" s="4">
        <v>1863</v>
      </c>
      <c r="G120" s="9" t="s">
        <v>280</v>
      </c>
      <c r="H120" s="1">
        <v>45362</v>
      </c>
      <c r="I120" t="s">
        <v>17</v>
      </c>
      <c r="J120" t="s">
        <v>281</v>
      </c>
      <c r="K120" t="s">
        <v>32</v>
      </c>
      <c r="L120" s="3">
        <f t="shared" si="2"/>
        <v>35677</v>
      </c>
      <c r="M120" s="3">
        <f t="shared" si="3"/>
        <v>19.150295222758992</v>
      </c>
    </row>
    <row r="121" spans="1:13" x14ac:dyDescent="0.35">
      <c r="A121" t="s">
        <v>26</v>
      </c>
      <c r="B121" t="s">
        <v>40</v>
      </c>
      <c r="C121" t="s">
        <v>77</v>
      </c>
      <c r="D121" t="s">
        <v>34</v>
      </c>
      <c r="E121" t="s">
        <v>23</v>
      </c>
      <c r="F121" s="4">
        <v>469</v>
      </c>
      <c r="G121" s="9" t="s">
        <v>282</v>
      </c>
      <c r="H121" s="1">
        <v>45488</v>
      </c>
      <c r="I121" t="s">
        <v>17</v>
      </c>
      <c r="J121" t="s">
        <v>283</v>
      </c>
      <c r="K121" t="s">
        <v>19</v>
      </c>
      <c r="L121" s="3">
        <f t="shared" si="2"/>
        <v>9657</v>
      </c>
      <c r="M121" s="3">
        <f t="shared" si="3"/>
        <v>20.590618336886994</v>
      </c>
    </row>
    <row r="122" spans="1:13" x14ac:dyDescent="0.35">
      <c r="A122" t="s">
        <v>53</v>
      </c>
      <c r="B122" t="s">
        <v>59</v>
      </c>
      <c r="C122" t="s">
        <v>33</v>
      </c>
      <c r="D122" t="s">
        <v>28</v>
      </c>
      <c r="E122" t="s">
        <v>15</v>
      </c>
      <c r="F122" s="4">
        <v>1296</v>
      </c>
      <c r="G122" s="9" t="s">
        <v>284</v>
      </c>
      <c r="H122" s="1">
        <v>45344</v>
      </c>
      <c r="I122" t="s">
        <v>45</v>
      </c>
      <c r="J122" t="s">
        <v>285</v>
      </c>
      <c r="K122" t="s">
        <v>32</v>
      </c>
      <c r="L122" s="3">
        <f t="shared" si="2"/>
        <v>14169</v>
      </c>
      <c r="M122" s="3">
        <f t="shared" si="3"/>
        <v>10.93287037037037</v>
      </c>
    </row>
    <row r="123" spans="1:13" x14ac:dyDescent="0.35">
      <c r="A123" t="s">
        <v>86</v>
      </c>
      <c r="B123" t="s">
        <v>40</v>
      </c>
      <c r="C123" t="s">
        <v>13</v>
      </c>
      <c r="D123" t="s">
        <v>89</v>
      </c>
      <c r="E123">
        <v>60</v>
      </c>
      <c r="F123" s="4">
        <v>1350</v>
      </c>
      <c r="G123" s="9" t="s">
        <v>286</v>
      </c>
      <c r="H123" s="1">
        <v>45425</v>
      </c>
      <c r="I123" t="s">
        <v>17</v>
      </c>
      <c r="J123" t="s">
        <v>287</v>
      </c>
      <c r="K123" t="s">
        <v>32</v>
      </c>
      <c r="L123" s="3">
        <f t="shared" si="2"/>
        <v>24407</v>
      </c>
      <c r="M123" s="3">
        <f t="shared" si="3"/>
        <v>18.07925925925926</v>
      </c>
    </row>
    <row r="124" spans="1:13" x14ac:dyDescent="0.35">
      <c r="A124" t="s">
        <v>11</v>
      </c>
      <c r="B124" t="s">
        <v>40</v>
      </c>
      <c r="C124" t="s">
        <v>13</v>
      </c>
      <c r="D124" t="s">
        <v>34</v>
      </c>
      <c r="E124" t="s">
        <v>15</v>
      </c>
      <c r="F124" s="4">
        <v>930</v>
      </c>
      <c r="G124" s="9" t="s">
        <v>288</v>
      </c>
      <c r="H124" s="1">
        <v>45333</v>
      </c>
      <c r="I124" t="s">
        <v>45</v>
      </c>
      <c r="J124" t="s">
        <v>289</v>
      </c>
      <c r="K124" t="s">
        <v>52</v>
      </c>
      <c r="L124" s="3">
        <f t="shared" si="2"/>
        <v>3721</v>
      </c>
      <c r="M124" s="3">
        <f t="shared" si="3"/>
        <v>4.0010752688172042</v>
      </c>
    </row>
    <row r="125" spans="1:13" x14ac:dyDescent="0.35">
      <c r="A125" t="s">
        <v>39</v>
      </c>
      <c r="B125" t="s">
        <v>40</v>
      </c>
      <c r="C125" t="s">
        <v>27</v>
      </c>
      <c r="D125" t="s">
        <v>34</v>
      </c>
      <c r="E125" t="s">
        <v>43</v>
      </c>
      <c r="F125" s="4">
        <v>1185</v>
      </c>
      <c r="G125" s="9" t="s">
        <v>290</v>
      </c>
      <c r="H125" s="1">
        <v>45354</v>
      </c>
      <c r="I125" t="s">
        <v>36</v>
      </c>
      <c r="J125" t="s">
        <v>291</v>
      </c>
      <c r="K125" t="s">
        <v>19</v>
      </c>
      <c r="L125" s="3">
        <f t="shared" si="2"/>
        <v>43131</v>
      </c>
      <c r="M125" s="3">
        <f t="shared" si="3"/>
        <v>36.39746835443038</v>
      </c>
    </row>
    <row r="126" spans="1:13" x14ac:dyDescent="0.35">
      <c r="A126" t="s">
        <v>26</v>
      </c>
      <c r="B126" t="s">
        <v>40</v>
      </c>
      <c r="C126" t="s">
        <v>27</v>
      </c>
      <c r="D126" t="s">
        <v>28</v>
      </c>
      <c r="E126">
        <v>60</v>
      </c>
      <c r="F126" s="4">
        <v>179</v>
      </c>
      <c r="G126" s="9" t="s">
        <v>292</v>
      </c>
      <c r="H126" s="1">
        <v>45219</v>
      </c>
      <c r="I126" t="s">
        <v>17</v>
      </c>
      <c r="J126" t="s">
        <v>293</v>
      </c>
      <c r="K126" t="s">
        <v>56</v>
      </c>
      <c r="L126" s="3">
        <f t="shared" si="2"/>
        <v>37526</v>
      </c>
      <c r="M126" s="3">
        <f t="shared" si="3"/>
        <v>209.64245810055866</v>
      </c>
    </row>
    <row r="127" spans="1:13" x14ac:dyDescent="0.35">
      <c r="A127" t="s">
        <v>11</v>
      </c>
      <c r="B127" t="s">
        <v>59</v>
      </c>
      <c r="C127" t="s">
        <v>33</v>
      </c>
      <c r="D127" t="s">
        <v>34</v>
      </c>
      <c r="E127">
        <v>30</v>
      </c>
      <c r="F127" s="4">
        <v>1859</v>
      </c>
      <c r="G127" s="9" t="s">
        <v>294</v>
      </c>
      <c r="H127" s="1">
        <v>45300</v>
      </c>
      <c r="I127" t="s">
        <v>17</v>
      </c>
      <c r="J127" t="s">
        <v>295</v>
      </c>
      <c r="K127" t="s">
        <v>38</v>
      </c>
      <c r="L127" s="3">
        <f t="shared" si="2"/>
        <v>27781</v>
      </c>
      <c r="M127" s="3">
        <f t="shared" si="3"/>
        <v>14.944055944055943</v>
      </c>
    </row>
    <row r="128" spans="1:13" x14ac:dyDescent="0.35">
      <c r="A128" t="s">
        <v>86</v>
      </c>
      <c r="B128" t="s">
        <v>40</v>
      </c>
      <c r="C128" t="s">
        <v>27</v>
      </c>
      <c r="D128" t="s">
        <v>28</v>
      </c>
      <c r="E128">
        <v>60</v>
      </c>
      <c r="F128" s="4">
        <v>1089</v>
      </c>
      <c r="G128" s="9" t="s">
        <v>296</v>
      </c>
      <c r="H128" s="1">
        <v>45185</v>
      </c>
      <c r="I128" t="s">
        <v>30</v>
      </c>
      <c r="J128" t="s">
        <v>297</v>
      </c>
      <c r="K128" t="s">
        <v>52</v>
      </c>
      <c r="L128" s="3">
        <f t="shared" si="2"/>
        <v>6993</v>
      </c>
      <c r="M128" s="3">
        <f t="shared" si="3"/>
        <v>6.4214876033057848</v>
      </c>
    </row>
    <row r="129" spans="1:13" x14ac:dyDescent="0.35">
      <c r="A129" t="s">
        <v>53</v>
      </c>
      <c r="B129" t="s">
        <v>59</v>
      </c>
      <c r="C129" t="s">
        <v>13</v>
      </c>
      <c r="D129" t="s">
        <v>34</v>
      </c>
      <c r="E129" t="s">
        <v>43</v>
      </c>
      <c r="F129" s="4">
        <v>1428</v>
      </c>
      <c r="G129" s="9" t="s">
        <v>298</v>
      </c>
      <c r="H129" s="1">
        <v>45208</v>
      </c>
      <c r="I129" t="s">
        <v>30</v>
      </c>
      <c r="J129" t="s">
        <v>299</v>
      </c>
      <c r="K129" t="s">
        <v>52</v>
      </c>
      <c r="L129" s="3">
        <f t="shared" si="2"/>
        <v>38657</v>
      </c>
      <c r="M129" s="3">
        <f t="shared" si="3"/>
        <v>27.070728291316527</v>
      </c>
    </row>
    <row r="130" spans="1:13" x14ac:dyDescent="0.35">
      <c r="A130" t="s">
        <v>53</v>
      </c>
      <c r="B130" t="s">
        <v>20</v>
      </c>
      <c r="C130" t="s">
        <v>77</v>
      </c>
      <c r="D130" t="s">
        <v>22</v>
      </c>
      <c r="E130" t="s">
        <v>43</v>
      </c>
      <c r="F130" s="4">
        <v>431</v>
      </c>
      <c r="G130" s="9" t="s">
        <v>300</v>
      </c>
      <c r="H130" s="1">
        <v>45333</v>
      </c>
      <c r="I130" t="s">
        <v>30</v>
      </c>
      <c r="J130" t="s">
        <v>301</v>
      </c>
      <c r="K130" t="s">
        <v>56</v>
      </c>
      <c r="L130" s="3">
        <f t="shared" ref="L130:L193" si="4">VALUE(SUBSTITUTE(G130,"$",""))</f>
        <v>42644</v>
      </c>
      <c r="M130" s="3">
        <f t="shared" si="3"/>
        <v>98.941995359628777</v>
      </c>
    </row>
    <row r="131" spans="1:13" x14ac:dyDescent="0.35">
      <c r="A131" t="s">
        <v>11</v>
      </c>
      <c r="B131" t="s">
        <v>62</v>
      </c>
      <c r="C131" t="s">
        <v>27</v>
      </c>
      <c r="D131" t="s">
        <v>28</v>
      </c>
      <c r="E131" t="s">
        <v>15</v>
      </c>
      <c r="F131" s="4">
        <v>1670</v>
      </c>
      <c r="G131" s="9" t="s">
        <v>302</v>
      </c>
      <c r="H131" s="1">
        <v>45361</v>
      </c>
      <c r="I131" t="s">
        <v>30</v>
      </c>
      <c r="J131" t="s">
        <v>303</v>
      </c>
      <c r="K131" t="s">
        <v>32</v>
      </c>
      <c r="L131" s="3">
        <f t="shared" si="4"/>
        <v>44138</v>
      </c>
      <c r="M131" s="3">
        <f t="shared" ref="M131:M194" si="5">VALUE(SUBSTITUTE(SUBSTITUTE(G131,"$",""),",",""))/F131</f>
        <v>26.429940119760477</v>
      </c>
    </row>
    <row r="132" spans="1:13" x14ac:dyDescent="0.35">
      <c r="A132" t="s">
        <v>86</v>
      </c>
      <c r="B132" t="s">
        <v>59</v>
      </c>
      <c r="C132" t="s">
        <v>13</v>
      </c>
      <c r="D132" t="s">
        <v>14</v>
      </c>
      <c r="E132" t="s">
        <v>23</v>
      </c>
      <c r="F132" s="4">
        <v>206</v>
      </c>
      <c r="G132" s="9" t="s">
        <v>304</v>
      </c>
      <c r="H132" s="1">
        <v>45417</v>
      </c>
      <c r="I132" t="s">
        <v>48</v>
      </c>
      <c r="J132" t="s">
        <v>305</v>
      </c>
      <c r="K132" t="s">
        <v>32</v>
      </c>
      <c r="L132" s="3">
        <f t="shared" si="4"/>
        <v>5211</v>
      </c>
      <c r="M132" s="3">
        <f t="shared" si="5"/>
        <v>25.296116504854368</v>
      </c>
    </row>
    <row r="133" spans="1:13" x14ac:dyDescent="0.35">
      <c r="A133" t="s">
        <v>53</v>
      </c>
      <c r="B133" t="s">
        <v>20</v>
      </c>
      <c r="C133" t="s">
        <v>21</v>
      </c>
      <c r="D133" t="s">
        <v>14</v>
      </c>
      <c r="E133" t="s">
        <v>23</v>
      </c>
      <c r="F133" s="4">
        <v>1499</v>
      </c>
      <c r="G133" s="9" t="s">
        <v>306</v>
      </c>
      <c r="H133" s="1">
        <v>45232</v>
      </c>
      <c r="I133" t="s">
        <v>17</v>
      </c>
      <c r="J133" t="s">
        <v>307</v>
      </c>
      <c r="K133" t="s">
        <v>38</v>
      </c>
      <c r="L133" s="3">
        <f t="shared" si="4"/>
        <v>42504</v>
      </c>
      <c r="M133" s="3">
        <f t="shared" si="5"/>
        <v>28.354903268845899</v>
      </c>
    </row>
    <row r="134" spans="1:13" x14ac:dyDescent="0.35">
      <c r="A134" t="s">
        <v>11</v>
      </c>
      <c r="B134" t="s">
        <v>20</v>
      </c>
      <c r="C134" t="s">
        <v>21</v>
      </c>
      <c r="D134" t="s">
        <v>22</v>
      </c>
      <c r="E134">
        <v>60</v>
      </c>
      <c r="F134" s="4">
        <v>1503</v>
      </c>
      <c r="G134" s="9" t="s">
        <v>308</v>
      </c>
      <c r="H134" s="1">
        <v>45457</v>
      </c>
      <c r="I134" t="s">
        <v>48</v>
      </c>
      <c r="J134" t="s">
        <v>309</v>
      </c>
      <c r="K134" t="s">
        <v>52</v>
      </c>
      <c r="L134" s="3">
        <f t="shared" si="4"/>
        <v>24284</v>
      </c>
      <c r="M134" s="3">
        <f t="shared" si="5"/>
        <v>16.157019294743847</v>
      </c>
    </row>
    <row r="135" spans="1:13" x14ac:dyDescent="0.35">
      <c r="A135" t="s">
        <v>53</v>
      </c>
      <c r="B135" t="s">
        <v>62</v>
      </c>
      <c r="C135" t="s">
        <v>77</v>
      </c>
      <c r="D135" t="s">
        <v>89</v>
      </c>
      <c r="E135">
        <v>60</v>
      </c>
      <c r="F135" s="4">
        <v>1473</v>
      </c>
      <c r="G135" s="9" t="s">
        <v>310</v>
      </c>
      <c r="H135" s="1">
        <v>45192</v>
      </c>
      <c r="I135" t="s">
        <v>48</v>
      </c>
      <c r="J135" t="s">
        <v>311</v>
      </c>
      <c r="K135" t="s">
        <v>52</v>
      </c>
      <c r="L135" s="3">
        <f t="shared" si="4"/>
        <v>49653</v>
      </c>
      <c r="M135" s="3">
        <f t="shared" si="5"/>
        <v>33.708757637474541</v>
      </c>
    </row>
    <row r="136" spans="1:13" x14ac:dyDescent="0.35">
      <c r="A136" t="s">
        <v>86</v>
      </c>
      <c r="B136" t="s">
        <v>40</v>
      </c>
      <c r="C136" t="s">
        <v>27</v>
      </c>
      <c r="D136" t="s">
        <v>14</v>
      </c>
      <c r="E136" t="s">
        <v>43</v>
      </c>
      <c r="F136" s="4">
        <v>1294</v>
      </c>
      <c r="G136" s="9" t="s">
        <v>312</v>
      </c>
      <c r="H136" s="1">
        <v>45458</v>
      </c>
      <c r="I136" t="s">
        <v>17</v>
      </c>
      <c r="J136" t="s">
        <v>313</v>
      </c>
      <c r="K136" t="s">
        <v>38</v>
      </c>
      <c r="L136" s="3">
        <f t="shared" si="4"/>
        <v>14645</v>
      </c>
      <c r="M136" s="3">
        <f t="shared" si="5"/>
        <v>11.317619783616692</v>
      </c>
    </row>
    <row r="137" spans="1:13" x14ac:dyDescent="0.35">
      <c r="A137" t="s">
        <v>26</v>
      </c>
      <c r="B137" t="s">
        <v>59</v>
      </c>
      <c r="C137" t="s">
        <v>77</v>
      </c>
      <c r="D137" t="s">
        <v>22</v>
      </c>
      <c r="E137" t="s">
        <v>23</v>
      </c>
      <c r="F137" s="4">
        <v>1337</v>
      </c>
      <c r="G137" s="9" t="s">
        <v>314</v>
      </c>
      <c r="H137" s="1">
        <v>45304</v>
      </c>
      <c r="I137" t="s">
        <v>45</v>
      </c>
      <c r="J137" t="s">
        <v>315</v>
      </c>
      <c r="K137" t="s">
        <v>19</v>
      </c>
      <c r="L137" s="3">
        <f t="shared" si="4"/>
        <v>21269</v>
      </c>
      <c r="M137" s="3">
        <f t="shared" si="5"/>
        <v>15.908002991772625</v>
      </c>
    </row>
    <row r="138" spans="1:13" x14ac:dyDescent="0.35">
      <c r="A138" t="s">
        <v>11</v>
      </c>
      <c r="B138" t="s">
        <v>20</v>
      </c>
      <c r="C138" t="s">
        <v>13</v>
      </c>
      <c r="D138" t="s">
        <v>14</v>
      </c>
      <c r="E138" t="s">
        <v>15</v>
      </c>
      <c r="F138" s="4">
        <v>580</v>
      </c>
      <c r="G138" s="9" t="s">
        <v>316</v>
      </c>
      <c r="H138" s="1">
        <v>45491</v>
      </c>
      <c r="I138" t="s">
        <v>17</v>
      </c>
      <c r="J138" t="s">
        <v>317</v>
      </c>
      <c r="K138" t="s">
        <v>32</v>
      </c>
      <c r="L138" s="3">
        <f t="shared" si="4"/>
        <v>15529</v>
      </c>
      <c r="M138" s="3">
        <f t="shared" si="5"/>
        <v>26.774137931034481</v>
      </c>
    </row>
    <row r="139" spans="1:13" x14ac:dyDescent="0.35">
      <c r="A139" t="s">
        <v>86</v>
      </c>
      <c r="B139" t="s">
        <v>40</v>
      </c>
      <c r="C139" t="s">
        <v>13</v>
      </c>
      <c r="D139" t="s">
        <v>22</v>
      </c>
      <c r="E139">
        <v>60</v>
      </c>
      <c r="F139" s="4">
        <v>1872</v>
      </c>
      <c r="G139" s="9" t="s">
        <v>318</v>
      </c>
      <c r="H139" s="1">
        <v>45150</v>
      </c>
      <c r="I139" t="s">
        <v>30</v>
      </c>
      <c r="J139" t="s">
        <v>319</v>
      </c>
      <c r="K139" t="s">
        <v>38</v>
      </c>
      <c r="L139" s="3">
        <f t="shared" si="4"/>
        <v>30435</v>
      </c>
      <c r="M139" s="3">
        <f t="shared" si="5"/>
        <v>16.258012820512821</v>
      </c>
    </row>
    <row r="140" spans="1:13" x14ac:dyDescent="0.35">
      <c r="A140" t="s">
        <v>53</v>
      </c>
      <c r="B140" t="s">
        <v>12</v>
      </c>
      <c r="C140" t="s">
        <v>27</v>
      </c>
      <c r="D140" t="s">
        <v>22</v>
      </c>
      <c r="E140" t="s">
        <v>43</v>
      </c>
      <c r="F140" s="4">
        <v>532</v>
      </c>
      <c r="G140" s="9" t="s">
        <v>320</v>
      </c>
      <c r="H140" s="1">
        <v>45143</v>
      </c>
      <c r="I140" t="s">
        <v>17</v>
      </c>
      <c r="J140" t="s">
        <v>321</v>
      </c>
      <c r="K140" t="s">
        <v>19</v>
      </c>
      <c r="L140" s="3">
        <f t="shared" si="4"/>
        <v>28042</v>
      </c>
      <c r="M140" s="3">
        <f t="shared" si="5"/>
        <v>52.710526315789473</v>
      </c>
    </row>
    <row r="141" spans="1:13" x14ac:dyDescent="0.35">
      <c r="A141" t="s">
        <v>53</v>
      </c>
      <c r="B141" t="s">
        <v>62</v>
      </c>
      <c r="C141" t="s">
        <v>13</v>
      </c>
      <c r="D141" t="s">
        <v>14</v>
      </c>
      <c r="E141" t="s">
        <v>23</v>
      </c>
      <c r="F141" s="4">
        <v>181</v>
      </c>
      <c r="G141" s="9" t="s">
        <v>322</v>
      </c>
      <c r="H141" s="1">
        <v>45430</v>
      </c>
      <c r="I141" t="s">
        <v>48</v>
      </c>
      <c r="J141" t="s">
        <v>323</v>
      </c>
      <c r="K141" t="s">
        <v>56</v>
      </c>
      <c r="L141" s="3">
        <f t="shared" si="4"/>
        <v>32650</v>
      </c>
      <c r="M141" s="3">
        <f t="shared" si="5"/>
        <v>180.38674033149172</v>
      </c>
    </row>
    <row r="142" spans="1:13" x14ac:dyDescent="0.35">
      <c r="A142" t="s">
        <v>11</v>
      </c>
      <c r="B142" t="s">
        <v>40</v>
      </c>
      <c r="C142" t="s">
        <v>27</v>
      </c>
      <c r="D142" t="s">
        <v>22</v>
      </c>
      <c r="E142" t="s">
        <v>43</v>
      </c>
      <c r="F142" s="4">
        <v>422</v>
      </c>
      <c r="G142" s="9" t="s">
        <v>324</v>
      </c>
      <c r="H142" s="1">
        <v>45262</v>
      </c>
      <c r="I142" t="s">
        <v>45</v>
      </c>
      <c r="J142" t="s">
        <v>325</v>
      </c>
      <c r="K142" t="s">
        <v>52</v>
      </c>
      <c r="L142" s="3">
        <f t="shared" si="4"/>
        <v>32388</v>
      </c>
      <c r="M142" s="3">
        <f t="shared" si="5"/>
        <v>76.748815165876778</v>
      </c>
    </row>
    <row r="143" spans="1:13" x14ac:dyDescent="0.35">
      <c r="A143" t="s">
        <v>86</v>
      </c>
      <c r="B143" t="s">
        <v>40</v>
      </c>
      <c r="C143" t="s">
        <v>21</v>
      </c>
      <c r="D143" t="s">
        <v>22</v>
      </c>
      <c r="E143" t="s">
        <v>23</v>
      </c>
      <c r="F143" s="4">
        <v>892</v>
      </c>
      <c r="G143" s="9" t="s">
        <v>326</v>
      </c>
      <c r="H143" s="1">
        <v>45274</v>
      </c>
      <c r="I143" t="s">
        <v>17</v>
      </c>
      <c r="J143" t="s">
        <v>327</v>
      </c>
      <c r="K143" t="s">
        <v>19</v>
      </c>
      <c r="L143" s="3">
        <f t="shared" si="4"/>
        <v>9396</v>
      </c>
      <c r="M143" s="3">
        <f t="shared" si="5"/>
        <v>10.533632286995516</v>
      </c>
    </row>
    <row r="144" spans="1:13" x14ac:dyDescent="0.35">
      <c r="A144" t="s">
        <v>53</v>
      </c>
      <c r="B144" t="s">
        <v>20</v>
      </c>
      <c r="C144" t="s">
        <v>21</v>
      </c>
      <c r="D144" t="s">
        <v>89</v>
      </c>
      <c r="E144">
        <v>30</v>
      </c>
      <c r="F144" s="4">
        <v>1964</v>
      </c>
      <c r="G144" s="9" t="s">
        <v>328</v>
      </c>
      <c r="H144" s="1">
        <v>45433</v>
      </c>
      <c r="I144" t="s">
        <v>36</v>
      </c>
      <c r="J144" t="s">
        <v>329</v>
      </c>
      <c r="K144" t="s">
        <v>56</v>
      </c>
      <c r="L144" s="3">
        <f t="shared" si="4"/>
        <v>11786</v>
      </c>
      <c r="M144" s="3">
        <f t="shared" si="5"/>
        <v>6.0010183299389004</v>
      </c>
    </row>
    <row r="145" spans="1:13" x14ac:dyDescent="0.35">
      <c r="A145" t="s">
        <v>39</v>
      </c>
      <c r="B145" t="s">
        <v>62</v>
      </c>
      <c r="C145" t="s">
        <v>13</v>
      </c>
      <c r="D145" t="s">
        <v>89</v>
      </c>
      <c r="E145">
        <v>30</v>
      </c>
      <c r="F145" s="4">
        <v>1698</v>
      </c>
      <c r="G145" s="9" t="s">
        <v>330</v>
      </c>
      <c r="H145" s="1">
        <v>45136</v>
      </c>
      <c r="I145" t="s">
        <v>45</v>
      </c>
      <c r="J145" t="s">
        <v>331</v>
      </c>
      <c r="K145" t="s">
        <v>38</v>
      </c>
      <c r="L145" s="3">
        <f t="shared" si="4"/>
        <v>19170</v>
      </c>
      <c r="M145" s="3">
        <f t="shared" si="5"/>
        <v>11.289752650176679</v>
      </c>
    </row>
    <row r="146" spans="1:13" x14ac:dyDescent="0.35">
      <c r="A146" t="s">
        <v>11</v>
      </c>
      <c r="B146" t="s">
        <v>20</v>
      </c>
      <c r="C146" t="s">
        <v>21</v>
      </c>
      <c r="D146" t="s">
        <v>22</v>
      </c>
      <c r="E146">
        <v>60</v>
      </c>
      <c r="F146" s="4">
        <v>1222</v>
      </c>
      <c r="G146" s="9" t="s">
        <v>332</v>
      </c>
      <c r="H146" s="1">
        <v>45279</v>
      </c>
      <c r="I146" t="s">
        <v>48</v>
      </c>
      <c r="J146" t="s">
        <v>333</v>
      </c>
      <c r="K146" t="s">
        <v>19</v>
      </c>
      <c r="L146" s="3">
        <f t="shared" si="4"/>
        <v>28574</v>
      </c>
      <c r="M146" s="3">
        <f t="shared" si="5"/>
        <v>23.382978723404257</v>
      </c>
    </row>
    <row r="147" spans="1:13" x14ac:dyDescent="0.35">
      <c r="A147" t="s">
        <v>11</v>
      </c>
      <c r="B147" t="s">
        <v>40</v>
      </c>
      <c r="C147" t="s">
        <v>77</v>
      </c>
      <c r="D147" t="s">
        <v>28</v>
      </c>
      <c r="E147" t="s">
        <v>43</v>
      </c>
      <c r="F147" s="4">
        <v>604</v>
      </c>
      <c r="G147" s="9" t="s">
        <v>334</v>
      </c>
      <c r="H147" s="1">
        <v>45361</v>
      </c>
      <c r="I147" t="s">
        <v>17</v>
      </c>
      <c r="J147" t="s">
        <v>335</v>
      </c>
      <c r="K147" t="s">
        <v>56</v>
      </c>
      <c r="L147" s="3">
        <f t="shared" si="4"/>
        <v>38185</v>
      </c>
      <c r="M147" s="3">
        <f t="shared" si="5"/>
        <v>63.22019867549669</v>
      </c>
    </row>
    <row r="148" spans="1:13" x14ac:dyDescent="0.35">
      <c r="A148" t="s">
        <v>26</v>
      </c>
      <c r="B148" t="s">
        <v>62</v>
      </c>
      <c r="C148" t="s">
        <v>21</v>
      </c>
      <c r="D148" t="s">
        <v>89</v>
      </c>
      <c r="E148" t="s">
        <v>15</v>
      </c>
      <c r="F148" s="4">
        <v>1811</v>
      </c>
      <c r="G148" s="9" t="s">
        <v>336</v>
      </c>
      <c r="H148" s="1">
        <v>45146</v>
      </c>
      <c r="I148" t="s">
        <v>36</v>
      </c>
      <c r="J148" t="s">
        <v>337</v>
      </c>
      <c r="K148" t="s">
        <v>52</v>
      </c>
      <c r="L148" s="3">
        <f t="shared" si="4"/>
        <v>42397</v>
      </c>
      <c r="M148" s="3">
        <f t="shared" si="5"/>
        <v>23.410822749861953</v>
      </c>
    </row>
    <row r="149" spans="1:13" x14ac:dyDescent="0.35">
      <c r="A149" t="s">
        <v>39</v>
      </c>
      <c r="B149" t="s">
        <v>59</v>
      </c>
      <c r="C149" t="s">
        <v>33</v>
      </c>
      <c r="D149" t="s">
        <v>89</v>
      </c>
      <c r="E149">
        <v>60</v>
      </c>
      <c r="F149" s="4">
        <v>560</v>
      </c>
      <c r="G149" s="9" t="s">
        <v>338</v>
      </c>
      <c r="H149" s="1">
        <v>45426</v>
      </c>
      <c r="I149" t="s">
        <v>45</v>
      </c>
      <c r="J149" t="s">
        <v>339</v>
      </c>
      <c r="K149" t="s">
        <v>38</v>
      </c>
      <c r="L149" s="3">
        <f t="shared" si="4"/>
        <v>42407</v>
      </c>
      <c r="M149" s="3">
        <f t="shared" si="5"/>
        <v>75.726785714285711</v>
      </c>
    </row>
    <row r="150" spans="1:13" x14ac:dyDescent="0.35">
      <c r="A150" t="s">
        <v>39</v>
      </c>
      <c r="B150" t="s">
        <v>20</v>
      </c>
      <c r="C150" t="s">
        <v>13</v>
      </c>
      <c r="D150" t="s">
        <v>89</v>
      </c>
      <c r="E150" t="s">
        <v>43</v>
      </c>
      <c r="F150" s="4">
        <v>862</v>
      </c>
      <c r="G150" s="9" t="s">
        <v>340</v>
      </c>
      <c r="H150" s="1">
        <v>45376</v>
      </c>
      <c r="I150" t="s">
        <v>45</v>
      </c>
      <c r="J150" t="s">
        <v>341</v>
      </c>
      <c r="K150" t="s">
        <v>52</v>
      </c>
      <c r="L150" s="3">
        <f t="shared" si="4"/>
        <v>49311</v>
      </c>
      <c r="M150" s="3">
        <f t="shared" si="5"/>
        <v>57.205336426914151</v>
      </c>
    </row>
    <row r="151" spans="1:13" x14ac:dyDescent="0.35">
      <c r="A151" t="s">
        <v>26</v>
      </c>
      <c r="B151" t="s">
        <v>62</v>
      </c>
      <c r="C151" t="s">
        <v>13</v>
      </c>
      <c r="D151" t="s">
        <v>22</v>
      </c>
      <c r="E151" t="s">
        <v>15</v>
      </c>
      <c r="F151" s="4">
        <v>1017</v>
      </c>
      <c r="G151" s="9" t="s">
        <v>342</v>
      </c>
      <c r="H151" s="1">
        <v>45365</v>
      </c>
      <c r="I151" t="s">
        <v>30</v>
      </c>
      <c r="J151" t="s">
        <v>343</v>
      </c>
      <c r="K151" t="s">
        <v>19</v>
      </c>
      <c r="L151" s="3">
        <f t="shared" si="4"/>
        <v>21123</v>
      </c>
      <c r="M151" s="3">
        <f t="shared" si="5"/>
        <v>20.76991150442478</v>
      </c>
    </row>
    <row r="152" spans="1:13" x14ac:dyDescent="0.35">
      <c r="A152" t="s">
        <v>39</v>
      </c>
      <c r="B152" t="s">
        <v>12</v>
      </c>
      <c r="C152" t="s">
        <v>21</v>
      </c>
      <c r="D152" t="s">
        <v>89</v>
      </c>
      <c r="E152">
        <v>30</v>
      </c>
      <c r="F152" s="4">
        <v>1468</v>
      </c>
      <c r="G152" s="9" t="s">
        <v>344</v>
      </c>
      <c r="H152" s="1">
        <v>45378</v>
      </c>
      <c r="I152" t="s">
        <v>17</v>
      </c>
      <c r="J152" t="s">
        <v>345</v>
      </c>
      <c r="K152" t="s">
        <v>52</v>
      </c>
      <c r="L152" s="3">
        <f t="shared" si="4"/>
        <v>32204</v>
      </c>
      <c r="M152" s="3">
        <f t="shared" si="5"/>
        <v>21.937329700272478</v>
      </c>
    </row>
    <row r="153" spans="1:13" x14ac:dyDescent="0.35">
      <c r="A153" t="s">
        <v>26</v>
      </c>
      <c r="B153" t="s">
        <v>12</v>
      </c>
      <c r="C153" t="s">
        <v>77</v>
      </c>
      <c r="D153" t="s">
        <v>34</v>
      </c>
      <c r="E153">
        <v>30</v>
      </c>
      <c r="F153" s="4">
        <v>1647</v>
      </c>
      <c r="G153" s="9" t="s">
        <v>346</v>
      </c>
      <c r="H153" s="1">
        <v>45330</v>
      </c>
      <c r="I153" t="s">
        <v>48</v>
      </c>
      <c r="J153" t="s">
        <v>347</v>
      </c>
      <c r="K153" t="s">
        <v>19</v>
      </c>
      <c r="L153" s="3">
        <f t="shared" si="4"/>
        <v>21201</v>
      </c>
      <c r="M153" s="3">
        <f t="shared" si="5"/>
        <v>12.872495446265939</v>
      </c>
    </row>
    <row r="154" spans="1:13" x14ac:dyDescent="0.35">
      <c r="A154" t="s">
        <v>53</v>
      </c>
      <c r="B154" t="s">
        <v>40</v>
      </c>
      <c r="C154" t="s">
        <v>13</v>
      </c>
      <c r="D154" t="s">
        <v>89</v>
      </c>
      <c r="E154">
        <v>30</v>
      </c>
      <c r="F154" s="4">
        <v>254</v>
      </c>
      <c r="G154" s="9" t="s">
        <v>348</v>
      </c>
      <c r="H154" s="1">
        <v>45169</v>
      </c>
      <c r="I154" t="s">
        <v>30</v>
      </c>
      <c r="J154" t="s">
        <v>349</v>
      </c>
      <c r="K154" t="s">
        <v>38</v>
      </c>
      <c r="L154" s="3">
        <f t="shared" si="4"/>
        <v>43256</v>
      </c>
      <c r="M154" s="3">
        <f t="shared" si="5"/>
        <v>170.29921259842519</v>
      </c>
    </row>
    <row r="155" spans="1:13" x14ac:dyDescent="0.35">
      <c r="A155" t="s">
        <v>86</v>
      </c>
      <c r="B155" t="s">
        <v>62</v>
      </c>
      <c r="C155" t="s">
        <v>77</v>
      </c>
      <c r="D155" t="s">
        <v>28</v>
      </c>
      <c r="E155" t="s">
        <v>43</v>
      </c>
      <c r="F155" s="4">
        <v>1661</v>
      </c>
      <c r="G155" s="9" t="s">
        <v>350</v>
      </c>
      <c r="H155" s="1">
        <v>45388</v>
      </c>
      <c r="I155" t="s">
        <v>30</v>
      </c>
      <c r="J155" t="s">
        <v>351</v>
      </c>
      <c r="K155" t="s">
        <v>19</v>
      </c>
      <c r="L155" s="3">
        <f t="shared" si="4"/>
        <v>8678</v>
      </c>
      <c r="M155" s="3">
        <f t="shared" si="5"/>
        <v>5.2245635159542445</v>
      </c>
    </row>
    <row r="156" spans="1:13" x14ac:dyDescent="0.35">
      <c r="A156" t="s">
        <v>11</v>
      </c>
      <c r="B156" t="s">
        <v>59</v>
      </c>
      <c r="C156" t="s">
        <v>77</v>
      </c>
      <c r="D156" t="s">
        <v>34</v>
      </c>
      <c r="E156" t="s">
        <v>23</v>
      </c>
      <c r="F156" s="4">
        <v>1446</v>
      </c>
      <c r="G156" s="9" t="s">
        <v>352</v>
      </c>
      <c r="H156" s="1">
        <v>45367</v>
      </c>
      <c r="I156" t="s">
        <v>36</v>
      </c>
      <c r="J156" t="s">
        <v>353</v>
      </c>
      <c r="K156" t="s">
        <v>56</v>
      </c>
      <c r="L156" s="3">
        <f t="shared" si="4"/>
        <v>49381</v>
      </c>
      <c r="M156" s="3">
        <f t="shared" si="5"/>
        <v>34.15006915629322</v>
      </c>
    </row>
    <row r="157" spans="1:13" x14ac:dyDescent="0.35">
      <c r="A157" t="s">
        <v>86</v>
      </c>
      <c r="B157" t="s">
        <v>40</v>
      </c>
      <c r="C157" t="s">
        <v>77</v>
      </c>
      <c r="D157" t="s">
        <v>34</v>
      </c>
      <c r="E157" t="s">
        <v>23</v>
      </c>
      <c r="F157" s="4">
        <v>936</v>
      </c>
      <c r="G157" s="9" t="s">
        <v>354</v>
      </c>
      <c r="H157" s="1">
        <v>45136</v>
      </c>
      <c r="I157" t="s">
        <v>36</v>
      </c>
      <c r="J157" t="s">
        <v>355</v>
      </c>
      <c r="K157" t="s">
        <v>56</v>
      </c>
      <c r="L157" s="3">
        <f t="shared" si="4"/>
        <v>48645</v>
      </c>
      <c r="M157" s="3">
        <f t="shared" si="5"/>
        <v>51.971153846153847</v>
      </c>
    </row>
    <row r="158" spans="1:13" x14ac:dyDescent="0.35">
      <c r="A158" t="s">
        <v>11</v>
      </c>
      <c r="B158" t="s">
        <v>12</v>
      </c>
      <c r="C158" t="s">
        <v>33</v>
      </c>
      <c r="D158" t="s">
        <v>22</v>
      </c>
      <c r="E158">
        <v>30</v>
      </c>
      <c r="F158" s="4">
        <v>1623</v>
      </c>
      <c r="G158" s="9" t="s">
        <v>356</v>
      </c>
      <c r="H158" s="1">
        <v>45426</v>
      </c>
      <c r="I158" t="s">
        <v>17</v>
      </c>
      <c r="J158" t="s">
        <v>357</v>
      </c>
      <c r="K158" t="s">
        <v>38</v>
      </c>
      <c r="L158" s="3">
        <f t="shared" si="4"/>
        <v>21818</v>
      </c>
      <c r="M158" s="3">
        <f t="shared" si="5"/>
        <v>13.443006777572396</v>
      </c>
    </row>
    <row r="159" spans="1:13" x14ac:dyDescent="0.35">
      <c r="A159" t="s">
        <v>53</v>
      </c>
      <c r="B159" t="s">
        <v>40</v>
      </c>
      <c r="C159" t="s">
        <v>21</v>
      </c>
      <c r="D159" t="s">
        <v>28</v>
      </c>
      <c r="E159">
        <v>30</v>
      </c>
      <c r="F159" s="4">
        <v>1318</v>
      </c>
      <c r="G159" s="9" t="s">
        <v>358</v>
      </c>
      <c r="H159" s="1">
        <v>45476</v>
      </c>
      <c r="I159" t="s">
        <v>17</v>
      </c>
      <c r="J159" t="s">
        <v>359</v>
      </c>
      <c r="K159" t="s">
        <v>56</v>
      </c>
      <c r="L159" s="3">
        <f t="shared" si="4"/>
        <v>7513</v>
      </c>
      <c r="M159" s="3">
        <f t="shared" si="5"/>
        <v>5.7003034901365703</v>
      </c>
    </row>
    <row r="160" spans="1:13" x14ac:dyDescent="0.35">
      <c r="A160" t="s">
        <v>39</v>
      </c>
      <c r="B160" t="s">
        <v>40</v>
      </c>
      <c r="C160" t="s">
        <v>33</v>
      </c>
      <c r="D160" t="s">
        <v>14</v>
      </c>
      <c r="E160">
        <v>30</v>
      </c>
      <c r="F160" s="4">
        <v>123</v>
      </c>
      <c r="G160" s="9" t="s">
        <v>360</v>
      </c>
      <c r="H160" s="1">
        <v>45300</v>
      </c>
      <c r="I160" t="s">
        <v>36</v>
      </c>
      <c r="J160" t="s">
        <v>361</v>
      </c>
      <c r="K160" t="s">
        <v>32</v>
      </c>
      <c r="L160" s="3">
        <f t="shared" si="4"/>
        <v>4294</v>
      </c>
      <c r="M160" s="3">
        <f t="shared" si="5"/>
        <v>34.91056910569106</v>
      </c>
    </row>
    <row r="161" spans="1:13" x14ac:dyDescent="0.35">
      <c r="A161" t="s">
        <v>86</v>
      </c>
      <c r="B161" t="s">
        <v>59</v>
      </c>
      <c r="C161" t="s">
        <v>13</v>
      </c>
      <c r="D161" t="s">
        <v>28</v>
      </c>
      <c r="E161">
        <v>30</v>
      </c>
      <c r="F161" s="4">
        <v>1466</v>
      </c>
      <c r="G161" s="9" t="s">
        <v>362</v>
      </c>
      <c r="H161" s="1">
        <v>45495</v>
      </c>
      <c r="I161" t="s">
        <v>30</v>
      </c>
      <c r="J161" t="s">
        <v>363</v>
      </c>
      <c r="K161" t="s">
        <v>56</v>
      </c>
      <c r="L161" s="3">
        <f t="shared" si="4"/>
        <v>24941</v>
      </c>
      <c r="M161" s="3">
        <f t="shared" si="5"/>
        <v>17.012960436562075</v>
      </c>
    </row>
    <row r="162" spans="1:13" x14ac:dyDescent="0.35">
      <c r="A162" t="s">
        <v>86</v>
      </c>
      <c r="B162" t="s">
        <v>62</v>
      </c>
      <c r="C162" t="s">
        <v>21</v>
      </c>
      <c r="D162" t="s">
        <v>28</v>
      </c>
      <c r="E162">
        <v>60</v>
      </c>
      <c r="F162" s="4">
        <v>390</v>
      </c>
      <c r="G162" s="9" t="s">
        <v>364</v>
      </c>
      <c r="H162" s="1">
        <v>45148</v>
      </c>
      <c r="I162" t="s">
        <v>30</v>
      </c>
      <c r="J162" t="s">
        <v>365</v>
      </c>
      <c r="K162" t="s">
        <v>19</v>
      </c>
      <c r="L162" s="3">
        <f t="shared" si="4"/>
        <v>46339</v>
      </c>
      <c r="M162" s="3">
        <f t="shared" si="5"/>
        <v>118.81794871794872</v>
      </c>
    </row>
    <row r="163" spans="1:13" x14ac:dyDescent="0.35">
      <c r="A163" t="s">
        <v>39</v>
      </c>
      <c r="B163" t="s">
        <v>40</v>
      </c>
      <c r="C163" t="s">
        <v>77</v>
      </c>
      <c r="D163" t="s">
        <v>89</v>
      </c>
      <c r="E163" t="s">
        <v>15</v>
      </c>
      <c r="F163" s="4">
        <v>1586</v>
      </c>
      <c r="G163" s="9" t="s">
        <v>366</v>
      </c>
      <c r="H163" s="1">
        <v>45425</v>
      </c>
      <c r="I163" t="s">
        <v>36</v>
      </c>
      <c r="J163" t="s">
        <v>367</v>
      </c>
      <c r="K163" t="s">
        <v>56</v>
      </c>
      <c r="L163" s="3">
        <f t="shared" si="4"/>
        <v>9800</v>
      </c>
      <c r="M163" s="3">
        <f t="shared" si="5"/>
        <v>6.1790668348045399</v>
      </c>
    </row>
    <row r="164" spans="1:13" x14ac:dyDescent="0.35">
      <c r="A164" t="s">
        <v>86</v>
      </c>
      <c r="B164" t="s">
        <v>59</v>
      </c>
      <c r="C164" t="s">
        <v>77</v>
      </c>
      <c r="D164" t="s">
        <v>22</v>
      </c>
      <c r="E164" t="s">
        <v>43</v>
      </c>
      <c r="F164" s="4">
        <v>739</v>
      </c>
      <c r="G164" s="9" t="s">
        <v>368</v>
      </c>
      <c r="H164" s="1">
        <v>45328</v>
      </c>
      <c r="I164" t="s">
        <v>48</v>
      </c>
      <c r="J164" t="s">
        <v>369</v>
      </c>
      <c r="K164" t="s">
        <v>38</v>
      </c>
      <c r="L164" s="3">
        <f t="shared" si="4"/>
        <v>48204</v>
      </c>
      <c r="M164" s="3">
        <f t="shared" si="5"/>
        <v>65.228687415426251</v>
      </c>
    </row>
    <row r="165" spans="1:13" x14ac:dyDescent="0.35">
      <c r="A165" t="s">
        <v>39</v>
      </c>
      <c r="B165" t="s">
        <v>59</v>
      </c>
      <c r="C165" t="s">
        <v>27</v>
      </c>
      <c r="D165" t="s">
        <v>34</v>
      </c>
      <c r="E165" t="s">
        <v>43</v>
      </c>
      <c r="F165" s="4">
        <v>1267</v>
      </c>
      <c r="G165" s="9" t="s">
        <v>370</v>
      </c>
      <c r="H165" s="1">
        <v>45400</v>
      </c>
      <c r="I165" t="s">
        <v>45</v>
      </c>
      <c r="J165" t="s">
        <v>371</v>
      </c>
      <c r="K165" t="s">
        <v>52</v>
      </c>
      <c r="L165" s="3">
        <f t="shared" si="4"/>
        <v>19752</v>
      </c>
      <c r="M165" s="3">
        <f t="shared" si="5"/>
        <v>15.589581689029202</v>
      </c>
    </row>
    <row r="166" spans="1:13" x14ac:dyDescent="0.35">
      <c r="A166" t="s">
        <v>39</v>
      </c>
      <c r="B166" t="s">
        <v>40</v>
      </c>
      <c r="C166" t="s">
        <v>13</v>
      </c>
      <c r="D166" t="s">
        <v>89</v>
      </c>
      <c r="E166">
        <v>30</v>
      </c>
      <c r="F166" s="4">
        <v>1834</v>
      </c>
      <c r="G166" s="9" t="s">
        <v>372</v>
      </c>
      <c r="H166" s="1">
        <v>45485</v>
      </c>
      <c r="I166" t="s">
        <v>36</v>
      </c>
      <c r="J166" t="s">
        <v>373</v>
      </c>
      <c r="K166" t="s">
        <v>52</v>
      </c>
      <c r="L166" s="3">
        <f t="shared" si="4"/>
        <v>37074</v>
      </c>
      <c r="M166" s="3">
        <f t="shared" si="5"/>
        <v>20.214830970556161</v>
      </c>
    </row>
    <row r="167" spans="1:13" x14ac:dyDescent="0.35">
      <c r="A167" t="s">
        <v>53</v>
      </c>
      <c r="B167" t="s">
        <v>59</v>
      </c>
      <c r="C167" t="s">
        <v>21</v>
      </c>
      <c r="D167" t="s">
        <v>89</v>
      </c>
      <c r="E167" t="s">
        <v>43</v>
      </c>
      <c r="F167" s="4">
        <v>667</v>
      </c>
      <c r="G167" s="9" t="s">
        <v>374</v>
      </c>
      <c r="H167" s="1">
        <v>45384</v>
      </c>
      <c r="I167" t="s">
        <v>30</v>
      </c>
      <c r="J167" t="s">
        <v>375</v>
      </c>
      <c r="K167" t="s">
        <v>32</v>
      </c>
      <c r="L167" s="3">
        <f t="shared" si="4"/>
        <v>7794</v>
      </c>
      <c r="M167" s="3">
        <f t="shared" si="5"/>
        <v>11.685157421289356</v>
      </c>
    </row>
    <row r="168" spans="1:13" x14ac:dyDescent="0.35">
      <c r="A168" t="s">
        <v>86</v>
      </c>
      <c r="B168" t="s">
        <v>62</v>
      </c>
      <c r="C168" t="s">
        <v>33</v>
      </c>
      <c r="D168" t="s">
        <v>34</v>
      </c>
      <c r="E168">
        <v>60</v>
      </c>
      <c r="F168" s="4">
        <v>1360</v>
      </c>
      <c r="G168" s="9" t="s">
        <v>376</v>
      </c>
      <c r="H168" s="1">
        <v>45168</v>
      </c>
      <c r="I168" t="s">
        <v>30</v>
      </c>
      <c r="J168" t="s">
        <v>377</v>
      </c>
      <c r="K168" t="s">
        <v>38</v>
      </c>
      <c r="L168" s="3">
        <f t="shared" si="4"/>
        <v>33904</v>
      </c>
      <c r="M168" s="3">
        <f t="shared" si="5"/>
        <v>24.929411764705883</v>
      </c>
    </row>
    <row r="169" spans="1:13" x14ac:dyDescent="0.35">
      <c r="A169" t="s">
        <v>26</v>
      </c>
      <c r="B169" t="s">
        <v>20</v>
      </c>
      <c r="C169" t="s">
        <v>13</v>
      </c>
      <c r="D169" t="s">
        <v>28</v>
      </c>
      <c r="E169">
        <v>60</v>
      </c>
      <c r="F169" s="4">
        <v>1124</v>
      </c>
      <c r="G169" s="9" t="s">
        <v>378</v>
      </c>
      <c r="H169" s="1">
        <v>45231</v>
      </c>
      <c r="I169" t="s">
        <v>48</v>
      </c>
      <c r="J169" t="s">
        <v>379</v>
      </c>
      <c r="K169" t="s">
        <v>38</v>
      </c>
      <c r="L169" s="3">
        <f t="shared" si="4"/>
        <v>15758</v>
      </c>
      <c r="M169" s="3">
        <f t="shared" si="5"/>
        <v>14.019572953736654</v>
      </c>
    </row>
    <row r="170" spans="1:13" x14ac:dyDescent="0.35">
      <c r="A170" t="s">
        <v>26</v>
      </c>
      <c r="B170" t="s">
        <v>12</v>
      </c>
      <c r="C170" t="s">
        <v>13</v>
      </c>
      <c r="D170" t="s">
        <v>89</v>
      </c>
      <c r="E170">
        <v>60</v>
      </c>
      <c r="F170" s="4">
        <v>236</v>
      </c>
      <c r="G170" s="9" t="s">
        <v>380</v>
      </c>
      <c r="H170" s="1">
        <v>45164</v>
      </c>
      <c r="I170" t="s">
        <v>45</v>
      </c>
      <c r="J170" t="s">
        <v>381</v>
      </c>
      <c r="K170" t="s">
        <v>32</v>
      </c>
      <c r="L170" s="3">
        <f t="shared" si="4"/>
        <v>46906</v>
      </c>
      <c r="M170" s="3">
        <f t="shared" si="5"/>
        <v>198.75423728813558</v>
      </c>
    </row>
    <row r="171" spans="1:13" x14ac:dyDescent="0.35">
      <c r="A171" t="s">
        <v>39</v>
      </c>
      <c r="B171" t="s">
        <v>20</v>
      </c>
      <c r="C171" t="s">
        <v>13</v>
      </c>
      <c r="D171" t="s">
        <v>28</v>
      </c>
      <c r="E171">
        <v>60</v>
      </c>
      <c r="F171" s="4">
        <v>1134</v>
      </c>
      <c r="G171" s="9" t="s">
        <v>382</v>
      </c>
      <c r="H171" s="1">
        <v>45368</v>
      </c>
      <c r="I171" t="s">
        <v>30</v>
      </c>
      <c r="J171" t="s">
        <v>383</v>
      </c>
      <c r="K171" t="s">
        <v>19</v>
      </c>
      <c r="L171" s="3">
        <f t="shared" si="4"/>
        <v>13081</v>
      </c>
      <c r="M171" s="3">
        <f t="shared" si="5"/>
        <v>11.535273368606703</v>
      </c>
    </row>
    <row r="172" spans="1:13" x14ac:dyDescent="0.35">
      <c r="A172" t="s">
        <v>39</v>
      </c>
      <c r="B172" t="s">
        <v>62</v>
      </c>
      <c r="C172" t="s">
        <v>33</v>
      </c>
      <c r="D172" t="s">
        <v>89</v>
      </c>
      <c r="E172" t="s">
        <v>23</v>
      </c>
      <c r="F172" s="4">
        <v>1262</v>
      </c>
      <c r="G172" s="9" t="s">
        <v>384</v>
      </c>
      <c r="H172" s="1">
        <v>45143</v>
      </c>
      <c r="I172" t="s">
        <v>30</v>
      </c>
      <c r="J172" t="s">
        <v>385</v>
      </c>
      <c r="K172" t="s">
        <v>56</v>
      </c>
      <c r="L172" s="3">
        <f t="shared" si="4"/>
        <v>23680</v>
      </c>
      <c r="M172" s="3">
        <f t="shared" si="5"/>
        <v>18.763866877971473</v>
      </c>
    </row>
    <row r="173" spans="1:13" x14ac:dyDescent="0.35">
      <c r="A173" t="s">
        <v>11</v>
      </c>
      <c r="B173" t="s">
        <v>62</v>
      </c>
      <c r="C173" t="s">
        <v>27</v>
      </c>
      <c r="D173" t="s">
        <v>14</v>
      </c>
      <c r="E173" t="s">
        <v>43</v>
      </c>
      <c r="F173" s="4">
        <v>153</v>
      </c>
      <c r="G173" s="9" t="s">
        <v>386</v>
      </c>
      <c r="H173" s="1">
        <v>45209</v>
      </c>
      <c r="I173" t="s">
        <v>48</v>
      </c>
      <c r="J173" t="s">
        <v>387</v>
      </c>
      <c r="K173" t="s">
        <v>38</v>
      </c>
      <c r="L173" s="3">
        <f t="shared" si="4"/>
        <v>19965</v>
      </c>
      <c r="M173" s="3">
        <f t="shared" si="5"/>
        <v>130.49019607843138</v>
      </c>
    </row>
    <row r="174" spans="1:13" x14ac:dyDescent="0.35">
      <c r="A174" t="s">
        <v>53</v>
      </c>
      <c r="B174" t="s">
        <v>12</v>
      </c>
      <c r="C174" t="s">
        <v>33</v>
      </c>
      <c r="D174" t="s">
        <v>22</v>
      </c>
      <c r="E174" t="s">
        <v>15</v>
      </c>
      <c r="F174" s="4">
        <v>1159</v>
      </c>
      <c r="G174" s="9" t="s">
        <v>388</v>
      </c>
      <c r="H174" s="1">
        <v>45411</v>
      </c>
      <c r="I174" t="s">
        <v>17</v>
      </c>
      <c r="J174" t="s">
        <v>389</v>
      </c>
      <c r="K174" t="s">
        <v>56</v>
      </c>
      <c r="L174" s="3">
        <f t="shared" si="4"/>
        <v>49694</v>
      </c>
      <c r="M174" s="3">
        <f t="shared" si="5"/>
        <v>42.876617773943053</v>
      </c>
    </row>
    <row r="175" spans="1:13" x14ac:dyDescent="0.35">
      <c r="A175" t="s">
        <v>26</v>
      </c>
      <c r="B175" t="s">
        <v>62</v>
      </c>
      <c r="C175" t="s">
        <v>33</v>
      </c>
      <c r="D175" t="s">
        <v>22</v>
      </c>
      <c r="E175">
        <v>30</v>
      </c>
      <c r="F175" s="4">
        <v>575</v>
      </c>
      <c r="G175" s="9" t="s">
        <v>390</v>
      </c>
      <c r="H175" s="1">
        <v>45156</v>
      </c>
      <c r="I175" t="s">
        <v>17</v>
      </c>
      <c r="J175" t="s">
        <v>391</v>
      </c>
      <c r="K175" t="s">
        <v>38</v>
      </c>
      <c r="L175" s="3">
        <f t="shared" si="4"/>
        <v>42355</v>
      </c>
      <c r="M175" s="3">
        <f t="shared" si="5"/>
        <v>73.660869565217396</v>
      </c>
    </row>
    <row r="176" spans="1:13" x14ac:dyDescent="0.35">
      <c r="A176" t="s">
        <v>53</v>
      </c>
      <c r="B176" t="s">
        <v>20</v>
      </c>
      <c r="C176" t="s">
        <v>27</v>
      </c>
      <c r="D176" t="s">
        <v>89</v>
      </c>
      <c r="E176">
        <v>60</v>
      </c>
      <c r="F176" s="4">
        <v>189</v>
      </c>
      <c r="G176" s="9" t="s">
        <v>392</v>
      </c>
      <c r="H176" s="1">
        <v>45142</v>
      </c>
      <c r="I176" t="s">
        <v>30</v>
      </c>
      <c r="J176" t="s">
        <v>393</v>
      </c>
      <c r="K176" t="s">
        <v>38</v>
      </c>
      <c r="L176" s="3">
        <f t="shared" si="4"/>
        <v>45637</v>
      </c>
      <c r="M176" s="3">
        <f t="shared" si="5"/>
        <v>241.46560846560845</v>
      </c>
    </row>
    <row r="177" spans="1:13" x14ac:dyDescent="0.35">
      <c r="A177" t="s">
        <v>26</v>
      </c>
      <c r="B177" t="s">
        <v>12</v>
      </c>
      <c r="C177" t="s">
        <v>27</v>
      </c>
      <c r="D177" t="s">
        <v>89</v>
      </c>
      <c r="E177">
        <v>60</v>
      </c>
      <c r="F177" s="4">
        <v>1132</v>
      </c>
      <c r="G177" s="9" t="s">
        <v>394</v>
      </c>
      <c r="H177" s="1">
        <v>45303</v>
      </c>
      <c r="I177" t="s">
        <v>45</v>
      </c>
      <c r="J177" t="s">
        <v>395</v>
      </c>
      <c r="K177" t="s">
        <v>19</v>
      </c>
      <c r="L177" s="3">
        <f t="shared" si="4"/>
        <v>46407</v>
      </c>
      <c r="M177" s="3">
        <f t="shared" si="5"/>
        <v>40.995583038869256</v>
      </c>
    </row>
    <row r="178" spans="1:13" x14ac:dyDescent="0.35">
      <c r="A178" t="s">
        <v>39</v>
      </c>
      <c r="B178" t="s">
        <v>20</v>
      </c>
      <c r="C178" t="s">
        <v>33</v>
      </c>
      <c r="D178" t="s">
        <v>14</v>
      </c>
      <c r="E178" t="s">
        <v>23</v>
      </c>
      <c r="F178" s="4">
        <v>411</v>
      </c>
      <c r="G178" s="9" t="s">
        <v>396</v>
      </c>
      <c r="H178" s="1">
        <v>45431</v>
      </c>
      <c r="I178" t="s">
        <v>48</v>
      </c>
      <c r="J178" t="s">
        <v>397</v>
      </c>
      <c r="K178" t="s">
        <v>19</v>
      </c>
      <c r="L178" s="3">
        <f t="shared" si="4"/>
        <v>37320</v>
      </c>
      <c r="M178" s="3">
        <f t="shared" si="5"/>
        <v>90.802919708029194</v>
      </c>
    </row>
    <row r="179" spans="1:13" x14ac:dyDescent="0.35">
      <c r="A179" t="s">
        <v>86</v>
      </c>
      <c r="B179" t="s">
        <v>62</v>
      </c>
      <c r="C179" t="s">
        <v>77</v>
      </c>
      <c r="D179" t="s">
        <v>28</v>
      </c>
      <c r="E179" t="s">
        <v>23</v>
      </c>
      <c r="F179" s="4">
        <v>165</v>
      </c>
      <c r="G179" s="9" t="s">
        <v>398</v>
      </c>
      <c r="H179" s="1">
        <v>45273</v>
      </c>
      <c r="I179" t="s">
        <v>17</v>
      </c>
      <c r="J179" t="s">
        <v>399</v>
      </c>
      <c r="K179" t="s">
        <v>38</v>
      </c>
      <c r="L179" s="3">
        <f t="shared" si="4"/>
        <v>26575</v>
      </c>
      <c r="M179" s="3">
        <f t="shared" si="5"/>
        <v>161.06060606060606</v>
      </c>
    </row>
    <row r="180" spans="1:13" x14ac:dyDescent="0.35">
      <c r="A180" t="s">
        <v>53</v>
      </c>
      <c r="B180" t="s">
        <v>59</v>
      </c>
      <c r="C180" t="s">
        <v>33</v>
      </c>
      <c r="D180" t="s">
        <v>14</v>
      </c>
      <c r="E180" t="s">
        <v>23</v>
      </c>
      <c r="F180" s="4">
        <v>1178</v>
      </c>
      <c r="G180" s="9" t="s">
        <v>400</v>
      </c>
      <c r="H180" s="1">
        <v>45184</v>
      </c>
      <c r="I180" t="s">
        <v>45</v>
      </c>
      <c r="J180" t="s">
        <v>401</v>
      </c>
      <c r="K180" t="s">
        <v>56</v>
      </c>
      <c r="L180" s="3">
        <f t="shared" si="4"/>
        <v>33005</v>
      </c>
      <c r="M180" s="3">
        <f t="shared" si="5"/>
        <v>28.017826825127333</v>
      </c>
    </row>
    <row r="181" spans="1:13" x14ac:dyDescent="0.35">
      <c r="A181" t="s">
        <v>39</v>
      </c>
      <c r="B181" t="s">
        <v>59</v>
      </c>
      <c r="C181" t="s">
        <v>13</v>
      </c>
      <c r="D181" t="s">
        <v>14</v>
      </c>
      <c r="E181" t="s">
        <v>23</v>
      </c>
      <c r="F181" s="4">
        <v>526</v>
      </c>
      <c r="G181" s="9" t="s">
        <v>402</v>
      </c>
      <c r="H181" s="1">
        <v>45301</v>
      </c>
      <c r="I181" t="s">
        <v>30</v>
      </c>
      <c r="J181" t="s">
        <v>403</v>
      </c>
      <c r="K181" t="s">
        <v>56</v>
      </c>
      <c r="L181" s="3">
        <f t="shared" si="4"/>
        <v>43392</v>
      </c>
      <c r="M181" s="3">
        <f t="shared" si="5"/>
        <v>82.49429657794677</v>
      </c>
    </row>
    <row r="182" spans="1:13" x14ac:dyDescent="0.35">
      <c r="A182" t="s">
        <v>86</v>
      </c>
      <c r="B182" t="s">
        <v>59</v>
      </c>
      <c r="C182" t="s">
        <v>77</v>
      </c>
      <c r="D182" t="s">
        <v>89</v>
      </c>
      <c r="E182" t="s">
        <v>23</v>
      </c>
      <c r="F182" s="4">
        <v>1084</v>
      </c>
      <c r="G182" s="9" t="s">
        <v>404</v>
      </c>
      <c r="H182" s="1">
        <v>45250</v>
      </c>
      <c r="I182" t="s">
        <v>17</v>
      </c>
      <c r="J182" t="s">
        <v>405</v>
      </c>
      <c r="K182" t="s">
        <v>38</v>
      </c>
      <c r="L182" s="3">
        <f t="shared" si="4"/>
        <v>34603</v>
      </c>
      <c r="M182" s="3">
        <f t="shared" si="5"/>
        <v>31.921586715867157</v>
      </c>
    </row>
    <row r="183" spans="1:13" x14ac:dyDescent="0.35">
      <c r="A183" t="s">
        <v>86</v>
      </c>
      <c r="B183" t="s">
        <v>59</v>
      </c>
      <c r="C183" t="s">
        <v>27</v>
      </c>
      <c r="D183" t="s">
        <v>28</v>
      </c>
      <c r="E183" t="s">
        <v>15</v>
      </c>
      <c r="F183" s="4">
        <v>574</v>
      </c>
      <c r="G183" s="9" t="s">
        <v>406</v>
      </c>
      <c r="H183" s="1">
        <v>45195</v>
      </c>
      <c r="I183" t="s">
        <v>48</v>
      </c>
      <c r="J183" t="s">
        <v>407</v>
      </c>
      <c r="K183" t="s">
        <v>38</v>
      </c>
      <c r="L183" s="3">
        <f t="shared" si="4"/>
        <v>27787</v>
      </c>
      <c r="M183" s="3">
        <f t="shared" si="5"/>
        <v>48.409407665505228</v>
      </c>
    </row>
    <row r="184" spans="1:13" x14ac:dyDescent="0.35">
      <c r="A184" t="s">
        <v>53</v>
      </c>
      <c r="B184" t="s">
        <v>59</v>
      </c>
      <c r="C184" t="s">
        <v>13</v>
      </c>
      <c r="D184" t="s">
        <v>14</v>
      </c>
      <c r="E184" t="s">
        <v>23</v>
      </c>
      <c r="F184" s="4">
        <v>1915</v>
      </c>
      <c r="G184" s="9" t="s">
        <v>408</v>
      </c>
      <c r="H184" s="1">
        <v>45248</v>
      </c>
      <c r="I184" t="s">
        <v>48</v>
      </c>
      <c r="J184" t="s">
        <v>409</v>
      </c>
      <c r="K184" t="s">
        <v>52</v>
      </c>
      <c r="L184" s="3">
        <f t="shared" si="4"/>
        <v>41152</v>
      </c>
      <c r="M184" s="3">
        <f t="shared" si="5"/>
        <v>21.489295039164492</v>
      </c>
    </row>
    <row r="185" spans="1:13" x14ac:dyDescent="0.35">
      <c r="A185" t="s">
        <v>26</v>
      </c>
      <c r="B185" t="s">
        <v>40</v>
      </c>
      <c r="C185" t="s">
        <v>21</v>
      </c>
      <c r="D185" t="s">
        <v>28</v>
      </c>
      <c r="E185" t="s">
        <v>23</v>
      </c>
      <c r="F185" s="4">
        <v>686</v>
      </c>
      <c r="G185" s="9" t="s">
        <v>410</v>
      </c>
      <c r="H185" s="1">
        <v>45420</v>
      </c>
      <c r="I185" t="s">
        <v>17</v>
      </c>
      <c r="J185" t="s">
        <v>411</v>
      </c>
      <c r="K185" t="s">
        <v>32</v>
      </c>
      <c r="L185" s="3">
        <f t="shared" si="4"/>
        <v>47207</v>
      </c>
      <c r="M185" s="3">
        <f t="shared" si="5"/>
        <v>68.814868804664727</v>
      </c>
    </row>
    <row r="186" spans="1:13" x14ac:dyDescent="0.35">
      <c r="A186" t="s">
        <v>39</v>
      </c>
      <c r="B186" t="s">
        <v>40</v>
      </c>
      <c r="C186" t="s">
        <v>33</v>
      </c>
      <c r="D186" t="s">
        <v>14</v>
      </c>
      <c r="E186" t="s">
        <v>43</v>
      </c>
      <c r="F186" s="4">
        <v>489</v>
      </c>
      <c r="G186" s="9" t="s">
        <v>412</v>
      </c>
      <c r="H186" s="1">
        <v>45481</v>
      </c>
      <c r="I186" t="s">
        <v>17</v>
      </c>
      <c r="J186" t="s">
        <v>413</v>
      </c>
      <c r="K186" t="s">
        <v>56</v>
      </c>
      <c r="L186" s="3">
        <f t="shared" si="4"/>
        <v>31891</v>
      </c>
      <c r="M186" s="3">
        <f t="shared" si="5"/>
        <v>65.216768916155416</v>
      </c>
    </row>
    <row r="187" spans="1:13" x14ac:dyDescent="0.35">
      <c r="A187" t="s">
        <v>53</v>
      </c>
      <c r="B187" t="s">
        <v>59</v>
      </c>
      <c r="C187" t="s">
        <v>77</v>
      </c>
      <c r="D187" t="s">
        <v>22</v>
      </c>
      <c r="E187">
        <v>60</v>
      </c>
      <c r="F187" s="4">
        <v>1995</v>
      </c>
      <c r="G187" s="9" t="s">
        <v>414</v>
      </c>
      <c r="H187" s="1">
        <v>45253</v>
      </c>
      <c r="I187" t="s">
        <v>17</v>
      </c>
      <c r="J187" t="s">
        <v>415</v>
      </c>
      <c r="K187" t="s">
        <v>38</v>
      </c>
      <c r="L187" s="3">
        <f t="shared" si="4"/>
        <v>25257</v>
      </c>
      <c r="M187" s="3">
        <f t="shared" si="5"/>
        <v>12.66015037593985</v>
      </c>
    </row>
    <row r="188" spans="1:13" x14ac:dyDescent="0.35">
      <c r="A188" t="s">
        <v>26</v>
      </c>
      <c r="B188" t="s">
        <v>20</v>
      </c>
      <c r="C188" t="s">
        <v>77</v>
      </c>
      <c r="D188" t="s">
        <v>22</v>
      </c>
      <c r="E188" t="s">
        <v>23</v>
      </c>
      <c r="F188" s="4">
        <v>1454</v>
      </c>
      <c r="G188" s="9" t="s">
        <v>416</v>
      </c>
      <c r="H188" s="1">
        <v>45408</v>
      </c>
      <c r="I188" t="s">
        <v>36</v>
      </c>
      <c r="J188" t="s">
        <v>417</v>
      </c>
      <c r="K188" t="s">
        <v>19</v>
      </c>
      <c r="L188" s="3">
        <f t="shared" si="4"/>
        <v>28319</v>
      </c>
      <c r="M188" s="3">
        <f t="shared" si="5"/>
        <v>19.476616231086659</v>
      </c>
    </row>
    <row r="189" spans="1:13" x14ac:dyDescent="0.35">
      <c r="A189" t="s">
        <v>39</v>
      </c>
      <c r="B189" t="s">
        <v>12</v>
      </c>
      <c r="C189" t="s">
        <v>13</v>
      </c>
      <c r="D189" t="s">
        <v>34</v>
      </c>
      <c r="E189" t="s">
        <v>43</v>
      </c>
      <c r="F189" s="4">
        <v>221</v>
      </c>
      <c r="G189" s="9" t="s">
        <v>418</v>
      </c>
      <c r="H189" s="1">
        <v>45185</v>
      </c>
      <c r="I189" t="s">
        <v>45</v>
      </c>
      <c r="J189" t="s">
        <v>419</v>
      </c>
      <c r="K189" t="s">
        <v>38</v>
      </c>
      <c r="L189" s="3">
        <f t="shared" si="4"/>
        <v>20149</v>
      </c>
      <c r="M189" s="3">
        <f t="shared" si="5"/>
        <v>91.171945701357473</v>
      </c>
    </row>
    <row r="190" spans="1:13" x14ac:dyDescent="0.35">
      <c r="A190" t="s">
        <v>11</v>
      </c>
      <c r="B190" t="s">
        <v>12</v>
      </c>
      <c r="C190" t="s">
        <v>13</v>
      </c>
      <c r="D190" t="s">
        <v>14</v>
      </c>
      <c r="E190" t="s">
        <v>23</v>
      </c>
      <c r="F190" s="4">
        <v>449</v>
      </c>
      <c r="G190" s="9" t="s">
        <v>420</v>
      </c>
      <c r="H190" s="1">
        <v>45303</v>
      </c>
      <c r="I190" t="s">
        <v>45</v>
      </c>
      <c r="J190" t="s">
        <v>421</v>
      </c>
      <c r="K190" t="s">
        <v>38</v>
      </c>
      <c r="L190" s="3">
        <f t="shared" si="4"/>
        <v>20979</v>
      </c>
      <c r="M190" s="3">
        <f t="shared" si="5"/>
        <v>46.72383073496659</v>
      </c>
    </row>
    <row r="191" spans="1:13" x14ac:dyDescent="0.35">
      <c r="A191" t="s">
        <v>11</v>
      </c>
      <c r="B191" t="s">
        <v>62</v>
      </c>
      <c r="C191" t="s">
        <v>33</v>
      </c>
      <c r="D191" t="s">
        <v>22</v>
      </c>
      <c r="E191">
        <v>60</v>
      </c>
      <c r="F191" s="4">
        <v>1180</v>
      </c>
      <c r="G191" s="9" t="s">
        <v>422</v>
      </c>
      <c r="H191" s="1">
        <v>45357</v>
      </c>
      <c r="I191" t="s">
        <v>17</v>
      </c>
      <c r="J191" t="s">
        <v>423</v>
      </c>
      <c r="K191" t="s">
        <v>56</v>
      </c>
      <c r="L191" s="3">
        <f t="shared" si="4"/>
        <v>24090</v>
      </c>
      <c r="M191" s="3">
        <f t="shared" si="5"/>
        <v>20.415254237288135</v>
      </c>
    </row>
    <row r="192" spans="1:13" x14ac:dyDescent="0.35">
      <c r="A192" t="s">
        <v>53</v>
      </c>
      <c r="B192" t="s">
        <v>12</v>
      </c>
      <c r="C192" t="s">
        <v>13</v>
      </c>
      <c r="D192" t="s">
        <v>28</v>
      </c>
      <c r="E192">
        <v>30</v>
      </c>
      <c r="F192" s="4">
        <v>898</v>
      </c>
      <c r="G192" s="9" t="s">
        <v>424</v>
      </c>
      <c r="H192" s="1">
        <v>45159</v>
      </c>
      <c r="I192" t="s">
        <v>36</v>
      </c>
      <c r="J192" t="s">
        <v>425</v>
      </c>
      <c r="K192" t="s">
        <v>38</v>
      </c>
      <c r="L192" s="3">
        <f t="shared" si="4"/>
        <v>10545</v>
      </c>
      <c r="M192" s="3">
        <f t="shared" si="5"/>
        <v>11.742761692650333</v>
      </c>
    </row>
    <row r="193" spans="1:13" x14ac:dyDescent="0.35">
      <c r="A193" t="s">
        <v>53</v>
      </c>
      <c r="B193" t="s">
        <v>12</v>
      </c>
      <c r="C193" t="s">
        <v>21</v>
      </c>
      <c r="D193" t="s">
        <v>34</v>
      </c>
      <c r="E193">
        <v>60</v>
      </c>
      <c r="F193" s="4">
        <v>967</v>
      </c>
      <c r="G193" s="9" t="s">
        <v>426</v>
      </c>
      <c r="H193" s="1">
        <v>45422</v>
      </c>
      <c r="I193" t="s">
        <v>36</v>
      </c>
      <c r="J193" t="s">
        <v>427</v>
      </c>
      <c r="K193" t="s">
        <v>56</v>
      </c>
      <c r="L193" s="3">
        <f t="shared" si="4"/>
        <v>37020</v>
      </c>
      <c r="M193" s="3">
        <f t="shared" si="5"/>
        <v>38.283350568769393</v>
      </c>
    </row>
    <row r="194" spans="1:13" x14ac:dyDescent="0.35">
      <c r="A194" t="s">
        <v>53</v>
      </c>
      <c r="B194" t="s">
        <v>12</v>
      </c>
      <c r="C194" t="s">
        <v>33</v>
      </c>
      <c r="D194" t="s">
        <v>28</v>
      </c>
      <c r="E194">
        <v>60</v>
      </c>
      <c r="F194" s="4">
        <v>909</v>
      </c>
      <c r="G194" s="9" t="s">
        <v>428</v>
      </c>
      <c r="H194" s="1">
        <v>45340</v>
      </c>
      <c r="I194" t="s">
        <v>30</v>
      </c>
      <c r="J194" t="s">
        <v>429</v>
      </c>
      <c r="K194" t="s">
        <v>52</v>
      </c>
      <c r="L194" s="3">
        <f t="shared" ref="L194:L257" si="6">VALUE(SUBSTITUTE(G194,"$",""))</f>
        <v>12714</v>
      </c>
      <c r="M194" s="3">
        <f t="shared" si="5"/>
        <v>13.986798679867986</v>
      </c>
    </row>
    <row r="195" spans="1:13" x14ac:dyDescent="0.35">
      <c r="A195" t="s">
        <v>53</v>
      </c>
      <c r="B195" t="s">
        <v>62</v>
      </c>
      <c r="C195" t="s">
        <v>27</v>
      </c>
      <c r="D195" t="s">
        <v>14</v>
      </c>
      <c r="E195" t="s">
        <v>23</v>
      </c>
      <c r="F195" s="4">
        <v>654</v>
      </c>
      <c r="G195" s="9" t="s">
        <v>430</v>
      </c>
      <c r="H195" s="1">
        <v>45261</v>
      </c>
      <c r="I195" t="s">
        <v>36</v>
      </c>
      <c r="J195" t="s">
        <v>431</v>
      </c>
      <c r="K195" t="s">
        <v>32</v>
      </c>
      <c r="L195" s="3">
        <f t="shared" si="6"/>
        <v>8859</v>
      </c>
      <c r="M195" s="3">
        <f t="shared" ref="M195:M258" si="7">VALUE(SUBSTITUTE(SUBSTITUTE(G195,"$",""),",",""))/F195</f>
        <v>13.545871559633028</v>
      </c>
    </row>
    <row r="196" spans="1:13" x14ac:dyDescent="0.35">
      <c r="A196" t="s">
        <v>39</v>
      </c>
      <c r="B196" t="s">
        <v>40</v>
      </c>
      <c r="C196" t="s">
        <v>33</v>
      </c>
      <c r="D196" t="s">
        <v>22</v>
      </c>
      <c r="E196">
        <v>30</v>
      </c>
      <c r="F196" s="4">
        <v>883</v>
      </c>
      <c r="G196" s="9" t="s">
        <v>432</v>
      </c>
      <c r="H196" s="1">
        <v>45193</v>
      </c>
      <c r="I196" t="s">
        <v>17</v>
      </c>
      <c r="J196" t="s">
        <v>433</v>
      </c>
      <c r="K196" t="s">
        <v>19</v>
      </c>
      <c r="L196" s="3">
        <f t="shared" si="6"/>
        <v>14721</v>
      </c>
      <c r="M196" s="3">
        <f t="shared" si="7"/>
        <v>16.671574178935447</v>
      </c>
    </row>
    <row r="197" spans="1:13" x14ac:dyDescent="0.35">
      <c r="A197" t="s">
        <v>11</v>
      </c>
      <c r="B197" t="s">
        <v>12</v>
      </c>
      <c r="C197" t="s">
        <v>21</v>
      </c>
      <c r="D197" t="s">
        <v>14</v>
      </c>
      <c r="E197" t="s">
        <v>23</v>
      </c>
      <c r="F197" s="4">
        <v>565</v>
      </c>
      <c r="G197" s="9" t="s">
        <v>434</v>
      </c>
      <c r="H197" s="1">
        <v>45321</v>
      </c>
      <c r="I197" t="s">
        <v>45</v>
      </c>
      <c r="J197" t="s">
        <v>435</v>
      </c>
      <c r="K197" t="s">
        <v>19</v>
      </c>
      <c r="L197" s="3">
        <f t="shared" si="6"/>
        <v>4821</v>
      </c>
      <c r="M197" s="3">
        <f t="shared" si="7"/>
        <v>8.5327433628318587</v>
      </c>
    </row>
    <row r="198" spans="1:13" x14ac:dyDescent="0.35">
      <c r="A198" t="s">
        <v>11</v>
      </c>
      <c r="B198" t="s">
        <v>40</v>
      </c>
      <c r="C198" t="s">
        <v>27</v>
      </c>
      <c r="D198" t="s">
        <v>89</v>
      </c>
      <c r="E198" t="s">
        <v>15</v>
      </c>
      <c r="F198" s="4">
        <v>933</v>
      </c>
      <c r="G198" s="9" t="s">
        <v>436</v>
      </c>
      <c r="H198" s="1">
        <v>45419</v>
      </c>
      <c r="I198" t="s">
        <v>48</v>
      </c>
      <c r="J198" t="s">
        <v>437</v>
      </c>
      <c r="K198" t="s">
        <v>32</v>
      </c>
      <c r="L198" s="3">
        <f t="shared" si="6"/>
        <v>26268</v>
      </c>
      <c r="M198" s="3">
        <f t="shared" si="7"/>
        <v>28.15434083601286</v>
      </c>
    </row>
    <row r="199" spans="1:13" x14ac:dyDescent="0.35">
      <c r="A199" t="s">
        <v>39</v>
      </c>
      <c r="B199" t="s">
        <v>12</v>
      </c>
      <c r="C199" t="s">
        <v>33</v>
      </c>
      <c r="D199" t="s">
        <v>14</v>
      </c>
      <c r="E199" t="s">
        <v>43</v>
      </c>
      <c r="F199" s="4">
        <v>1793</v>
      </c>
      <c r="G199" s="9" t="s">
        <v>438</v>
      </c>
      <c r="H199" s="1">
        <v>45467</v>
      </c>
      <c r="I199" t="s">
        <v>30</v>
      </c>
      <c r="J199" t="s">
        <v>439</v>
      </c>
      <c r="K199" t="s">
        <v>52</v>
      </c>
      <c r="L199" s="3">
        <f t="shared" si="6"/>
        <v>12451</v>
      </c>
      <c r="M199" s="3">
        <f t="shared" si="7"/>
        <v>6.9442275515895151</v>
      </c>
    </row>
    <row r="200" spans="1:13" x14ac:dyDescent="0.35">
      <c r="A200" t="s">
        <v>26</v>
      </c>
      <c r="B200" t="s">
        <v>40</v>
      </c>
      <c r="C200" t="s">
        <v>77</v>
      </c>
      <c r="D200" t="s">
        <v>22</v>
      </c>
      <c r="E200" t="s">
        <v>23</v>
      </c>
      <c r="F200" s="4">
        <v>697</v>
      </c>
      <c r="G200" s="9" t="s">
        <v>440</v>
      </c>
      <c r="H200" s="1">
        <v>45347</v>
      </c>
      <c r="I200" t="s">
        <v>36</v>
      </c>
      <c r="J200" t="s">
        <v>441</v>
      </c>
      <c r="K200" t="s">
        <v>38</v>
      </c>
      <c r="L200" s="3">
        <f t="shared" si="6"/>
        <v>19171</v>
      </c>
      <c r="M200" s="3">
        <f t="shared" si="7"/>
        <v>27.505021520803442</v>
      </c>
    </row>
    <row r="201" spans="1:13" x14ac:dyDescent="0.35">
      <c r="A201" t="s">
        <v>86</v>
      </c>
      <c r="B201" t="s">
        <v>40</v>
      </c>
      <c r="C201" t="s">
        <v>21</v>
      </c>
      <c r="D201" t="s">
        <v>89</v>
      </c>
      <c r="E201">
        <v>30</v>
      </c>
      <c r="F201" s="4">
        <v>379</v>
      </c>
      <c r="G201" s="9" t="s">
        <v>442</v>
      </c>
      <c r="H201" s="1">
        <v>45231</v>
      </c>
      <c r="I201" t="s">
        <v>36</v>
      </c>
      <c r="J201" t="s">
        <v>443</v>
      </c>
      <c r="K201" t="s">
        <v>56</v>
      </c>
      <c r="L201" s="3">
        <f t="shared" si="6"/>
        <v>45953</v>
      </c>
      <c r="M201" s="3">
        <f t="shared" si="7"/>
        <v>121.24802110817942</v>
      </c>
    </row>
    <row r="202" spans="1:13" x14ac:dyDescent="0.35">
      <c r="A202" t="s">
        <v>86</v>
      </c>
      <c r="B202" t="s">
        <v>59</v>
      </c>
      <c r="C202" t="s">
        <v>33</v>
      </c>
      <c r="D202" t="s">
        <v>34</v>
      </c>
      <c r="E202">
        <v>60</v>
      </c>
      <c r="F202" s="4">
        <v>1640</v>
      </c>
      <c r="G202" s="9" t="s">
        <v>444</v>
      </c>
      <c r="H202" s="1">
        <v>45204</v>
      </c>
      <c r="I202" t="s">
        <v>17</v>
      </c>
      <c r="J202" t="s">
        <v>445</v>
      </c>
      <c r="K202" t="s">
        <v>19</v>
      </c>
      <c r="L202" s="3">
        <f t="shared" si="6"/>
        <v>18487</v>
      </c>
      <c r="M202" s="3">
        <f t="shared" si="7"/>
        <v>11.272560975609757</v>
      </c>
    </row>
    <row r="203" spans="1:13" x14ac:dyDescent="0.35">
      <c r="A203" t="s">
        <v>39</v>
      </c>
      <c r="B203" t="s">
        <v>20</v>
      </c>
      <c r="C203" t="s">
        <v>77</v>
      </c>
      <c r="D203" t="s">
        <v>22</v>
      </c>
      <c r="E203" t="s">
        <v>43</v>
      </c>
      <c r="F203" s="4">
        <v>244</v>
      </c>
      <c r="G203" s="9" t="s">
        <v>446</v>
      </c>
      <c r="H203" s="1">
        <v>45298</v>
      </c>
      <c r="I203" t="s">
        <v>36</v>
      </c>
      <c r="J203" t="s">
        <v>447</v>
      </c>
      <c r="K203" t="s">
        <v>56</v>
      </c>
      <c r="L203" s="3">
        <f t="shared" si="6"/>
        <v>29056</v>
      </c>
      <c r="M203" s="3">
        <f t="shared" si="7"/>
        <v>119.08196721311475</v>
      </c>
    </row>
    <row r="204" spans="1:13" x14ac:dyDescent="0.35">
      <c r="A204" t="s">
        <v>39</v>
      </c>
      <c r="B204" t="s">
        <v>62</v>
      </c>
      <c r="C204" t="s">
        <v>13</v>
      </c>
      <c r="D204" t="s">
        <v>34</v>
      </c>
      <c r="E204">
        <v>60</v>
      </c>
      <c r="F204" s="4">
        <v>482</v>
      </c>
      <c r="G204" s="9" t="s">
        <v>448</v>
      </c>
      <c r="H204" s="1">
        <v>45199</v>
      </c>
      <c r="I204" t="s">
        <v>36</v>
      </c>
      <c r="J204" t="s">
        <v>449</v>
      </c>
      <c r="K204" t="s">
        <v>52</v>
      </c>
      <c r="L204" s="3">
        <f t="shared" si="6"/>
        <v>4566</v>
      </c>
      <c r="M204" s="3">
        <f t="shared" si="7"/>
        <v>9.4730290456431536</v>
      </c>
    </row>
    <row r="205" spans="1:13" x14ac:dyDescent="0.35">
      <c r="A205" t="s">
        <v>11</v>
      </c>
      <c r="B205" t="s">
        <v>59</v>
      </c>
      <c r="C205" t="s">
        <v>33</v>
      </c>
      <c r="D205" t="s">
        <v>22</v>
      </c>
      <c r="E205">
        <v>60</v>
      </c>
      <c r="F205" s="4">
        <v>982</v>
      </c>
      <c r="G205" s="9" t="s">
        <v>450</v>
      </c>
      <c r="H205" s="1">
        <v>45290</v>
      </c>
      <c r="I205" t="s">
        <v>36</v>
      </c>
      <c r="J205" t="s">
        <v>451</v>
      </c>
      <c r="K205" t="s">
        <v>32</v>
      </c>
      <c r="L205" s="3">
        <f t="shared" si="6"/>
        <v>5040</v>
      </c>
      <c r="M205" s="3">
        <f t="shared" si="7"/>
        <v>5.1323828920570262</v>
      </c>
    </row>
    <row r="206" spans="1:13" x14ac:dyDescent="0.35">
      <c r="A206" t="s">
        <v>86</v>
      </c>
      <c r="B206" t="s">
        <v>20</v>
      </c>
      <c r="C206" t="s">
        <v>13</v>
      </c>
      <c r="D206" t="s">
        <v>14</v>
      </c>
      <c r="E206" t="s">
        <v>23</v>
      </c>
      <c r="F206" s="4">
        <v>401</v>
      </c>
      <c r="G206" s="9" t="s">
        <v>452</v>
      </c>
      <c r="H206" s="1">
        <v>45240</v>
      </c>
      <c r="I206" t="s">
        <v>36</v>
      </c>
      <c r="J206" t="s">
        <v>453</v>
      </c>
      <c r="K206" t="s">
        <v>32</v>
      </c>
      <c r="L206" s="3">
        <f t="shared" si="6"/>
        <v>33003</v>
      </c>
      <c r="M206" s="3">
        <f t="shared" si="7"/>
        <v>82.301745635910223</v>
      </c>
    </row>
    <row r="207" spans="1:13" x14ac:dyDescent="0.35">
      <c r="A207" t="s">
        <v>39</v>
      </c>
      <c r="B207" t="s">
        <v>20</v>
      </c>
      <c r="C207" t="s">
        <v>27</v>
      </c>
      <c r="D207" t="s">
        <v>14</v>
      </c>
      <c r="E207">
        <v>60</v>
      </c>
      <c r="F207" s="4">
        <v>1315</v>
      </c>
      <c r="G207" s="9" t="s">
        <v>454</v>
      </c>
      <c r="H207" s="1">
        <v>45329</v>
      </c>
      <c r="I207" t="s">
        <v>17</v>
      </c>
      <c r="J207" t="s">
        <v>455</v>
      </c>
      <c r="K207" t="s">
        <v>19</v>
      </c>
      <c r="L207" s="3">
        <f t="shared" si="6"/>
        <v>13838</v>
      </c>
      <c r="M207" s="3">
        <f t="shared" si="7"/>
        <v>10.523193916349809</v>
      </c>
    </row>
    <row r="208" spans="1:13" x14ac:dyDescent="0.35">
      <c r="A208" t="s">
        <v>11</v>
      </c>
      <c r="B208" t="s">
        <v>12</v>
      </c>
      <c r="C208" t="s">
        <v>27</v>
      </c>
      <c r="D208" t="s">
        <v>22</v>
      </c>
      <c r="E208" t="s">
        <v>43</v>
      </c>
      <c r="F208" s="4">
        <v>1986</v>
      </c>
      <c r="G208" s="9" t="s">
        <v>456</v>
      </c>
      <c r="H208" s="1">
        <v>45306</v>
      </c>
      <c r="I208" t="s">
        <v>17</v>
      </c>
      <c r="J208" t="s">
        <v>457</v>
      </c>
      <c r="K208" t="s">
        <v>38</v>
      </c>
      <c r="L208" s="3">
        <f t="shared" si="6"/>
        <v>21856</v>
      </c>
      <c r="M208" s="3">
        <f t="shared" si="7"/>
        <v>11.00503524672709</v>
      </c>
    </row>
    <row r="209" spans="1:13" x14ac:dyDescent="0.35">
      <c r="A209" t="s">
        <v>53</v>
      </c>
      <c r="B209" t="s">
        <v>12</v>
      </c>
      <c r="C209" t="s">
        <v>21</v>
      </c>
      <c r="D209" t="s">
        <v>34</v>
      </c>
      <c r="E209" t="s">
        <v>23</v>
      </c>
      <c r="F209" s="4">
        <v>626</v>
      </c>
      <c r="G209" s="9" t="s">
        <v>458</v>
      </c>
      <c r="H209" s="1">
        <v>45253</v>
      </c>
      <c r="I209" t="s">
        <v>48</v>
      </c>
      <c r="J209" t="s">
        <v>459</v>
      </c>
      <c r="K209" t="s">
        <v>38</v>
      </c>
      <c r="L209" s="3">
        <f t="shared" si="6"/>
        <v>41156</v>
      </c>
      <c r="M209" s="3">
        <f t="shared" si="7"/>
        <v>65.744408945686899</v>
      </c>
    </row>
    <row r="210" spans="1:13" x14ac:dyDescent="0.35">
      <c r="A210" t="s">
        <v>86</v>
      </c>
      <c r="B210" t="s">
        <v>40</v>
      </c>
      <c r="C210" t="s">
        <v>13</v>
      </c>
      <c r="D210" t="s">
        <v>28</v>
      </c>
      <c r="E210">
        <v>30</v>
      </c>
      <c r="F210" s="4">
        <v>817</v>
      </c>
      <c r="G210" s="9" t="s">
        <v>460</v>
      </c>
      <c r="H210" s="1">
        <v>45223</v>
      </c>
      <c r="I210" t="s">
        <v>45</v>
      </c>
      <c r="J210" t="s">
        <v>461</v>
      </c>
      <c r="K210" t="s">
        <v>19</v>
      </c>
      <c r="L210" s="3">
        <f t="shared" si="6"/>
        <v>41978</v>
      </c>
      <c r="M210" s="3">
        <f t="shared" si="7"/>
        <v>51.380660954712361</v>
      </c>
    </row>
    <row r="211" spans="1:13" x14ac:dyDescent="0.35">
      <c r="A211" t="s">
        <v>53</v>
      </c>
      <c r="B211" t="s">
        <v>12</v>
      </c>
      <c r="C211" t="s">
        <v>77</v>
      </c>
      <c r="D211" t="s">
        <v>28</v>
      </c>
      <c r="E211" t="s">
        <v>43</v>
      </c>
      <c r="F211" s="4">
        <v>1540</v>
      </c>
      <c r="G211" s="9" t="s">
        <v>462</v>
      </c>
      <c r="H211" s="1">
        <v>45424</v>
      </c>
      <c r="I211" t="s">
        <v>45</v>
      </c>
      <c r="J211" t="s">
        <v>463</v>
      </c>
      <c r="K211" t="s">
        <v>19</v>
      </c>
      <c r="L211" s="3">
        <f t="shared" si="6"/>
        <v>46616</v>
      </c>
      <c r="M211" s="3">
        <f t="shared" si="7"/>
        <v>30.270129870129871</v>
      </c>
    </row>
    <row r="212" spans="1:13" x14ac:dyDescent="0.35">
      <c r="A212" t="s">
        <v>11</v>
      </c>
      <c r="B212" t="s">
        <v>59</v>
      </c>
      <c r="C212" t="s">
        <v>21</v>
      </c>
      <c r="D212" t="s">
        <v>28</v>
      </c>
      <c r="E212">
        <v>60</v>
      </c>
      <c r="F212" s="4">
        <v>1352</v>
      </c>
      <c r="G212" s="9" t="s">
        <v>464</v>
      </c>
      <c r="H212" s="1">
        <v>45302</v>
      </c>
      <c r="I212" t="s">
        <v>30</v>
      </c>
      <c r="J212" t="s">
        <v>465</v>
      </c>
      <c r="K212" t="s">
        <v>56</v>
      </c>
      <c r="L212" s="3">
        <f t="shared" si="6"/>
        <v>9133</v>
      </c>
      <c r="M212" s="3">
        <f t="shared" si="7"/>
        <v>6.7551775147928996</v>
      </c>
    </row>
    <row r="213" spans="1:13" x14ac:dyDescent="0.35">
      <c r="A213" t="s">
        <v>39</v>
      </c>
      <c r="B213" t="s">
        <v>20</v>
      </c>
      <c r="C213" t="s">
        <v>33</v>
      </c>
      <c r="D213" t="s">
        <v>14</v>
      </c>
      <c r="E213" t="s">
        <v>43</v>
      </c>
      <c r="F213" s="4">
        <v>428</v>
      </c>
      <c r="G213" s="9" t="s">
        <v>466</v>
      </c>
      <c r="H213" s="1">
        <v>45179</v>
      </c>
      <c r="I213" t="s">
        <v>36</v>
      </c>
      <c r="J213" t="s">
        <v>467</v>
      </c>
      <c r="K213" t="s">
        <v>38</v>
      </c>
      <c r="L213" s="3">
        <f t="shared" si="6"/>
        <v>26054</v>
      </c>
      <c r="M213" s="3">
        <f t="shared" si="7"/>
        <v>60.873831775700936</v>
      </c>
    </row>
    <row r="214" spans="1:13" x14ac:dyDescent="0.35">
      <c r="A214" t="s">
        <v>86</v>
      </c>
      <c r="B214" t="s">
        <v>62</v>
      </c>
      <c r="C214" t="s">
        <v>33</v>
      </c>
      <c r="D214" t="s">
        <v>89</v>
      </c>
      <c r="E214">
        <v>60</v>
      </c>
      <c r="F214" s="4">
        <v>1934</v>
      </c>
      <c r="G214" s="9" t="s">
        <v>468</v>
      </c>
      <c r="H214" s="1">
        <v>45403</v>
      </c>
      <c r="I214" t="s">
        <v>17</v>
      </c>
      <c r="J214" t="s">
        <v>469</v>
      </c>
      <c r="K214" t="s">
        <v>32</v>
      </c>
      <c r="L214" s="3">
        <f t="shared" si="6"/>
        <v>41356</v>
      </c>
      <c r="M214" s="3">
        <f t="shared" si="7"/>
        <v>21.383660806618408</v>
      </c>
    </row>
    <row r="215" spans="1:13" x14ac:dyDescent="0.35">
      <c r="A215" t="s">
        <v>39</v>
      </c>
      <c r="B215" t="s">
        <v>62</v>
      </c>
      <c r="C215" t="s">
        <v>27</v>
      </c>
      <c r="D215" t="s">
        <v>34</v>
      </c>
      <c r="E215" t="s">
        <v>15</v>
      </c>
      <c r="F215" s="4">
        <v>1826</v>
      </c>
      <c r="G215" s="9" t="s">
        <v>470</v>
      </c>
      <c r="H215" s="1">
        <v>45297</v>
      </c>
      <c r="I215" t="s">
        <v>17</v>
      </c>
      <c r="J215" t="s">
        <v>471</v>
      </c>
      <c r="K215" t="s">
        <v>56</v>
      </c>
      <c r="L215" s="3">
        <f t="shared" si="6"/>
        <v>2719</v>
      </c>
      <c r="M215" s="3">
        <f t="shared" si="7"/>
        <v>1.4890470974808325</v>
      </c>
    </row>
    <row r="216" spans="1:13" x14ac:dyDescent="0.35">
      <c r="A216" t="s">
        <v>26</v>
      </c>
      <c r="B216" t="s">
        <v>62</v>
      </c>
      <c r="C216" t="s">
        <v>13</v>
      </c>
      <c r="D216" t="s">
        <v>28</v>
      </c>
      <c r="E216" t="s">
        <v>43</v>
      </c>
      <c r="F216" s="4">
        <v>594</v>
      </c>
      <c r="G216" s="9" t="s">
        <v>472</v>
      </c>
      <c r="H216" s="1">
        <v>45166</v>
      </c>
      <c r="I216" t="s">
        <v>30</v>
      </c>
      <c r="J216" t="s">
        <v>473</v>
      </c>
      <c r="K216" t="s">
        <v>52</v>
      </c>
      <c r="L216" s="3">
        <f t="shared" si="6"/>
        <v>11887</v>
      </c>
      <c r="M216" s="3">
        <f t="shared" si="7"/>
        <v>20.011784511784512</v>
      </c>
    </row>
    <row r="217" spans="1:13" x14ac:dyDescent="0.35">
      <c r="A217" t="s">
        <v>86</v>
      </c>
      <c r="B217" t="s">
        <v>12</v>
      </c>
      <c r="C217" t="s">
        <v>33</v>
      </c>
      <c r="D217" t="s">
        <v>89</v>
      </c>
      <c r="E217" t="s">
        <v>15</v>
      </c>
      <c r="F217" s="4">
        <v>105</v>
      </c>
      <c r="G217" s="9" t="s">
        <v>474</v>
      </c>
      <c r="H217" s="1">
        <v>45499</v>
      </c>
      <c r="I217" t="s">
        <v>45</v>
      </c>
      <c r="J217" t="s">
        <v>475</v>
      </c>
      <c r="K217" t="s">
        <v>38</v>
      </c>
      <c r="L217" s="3">
        <f t="shared" si="6"/>
        <v>36153</v>
      </c>
      <c r="M217" s="3">
        <f t="shared" si="7"/>
        <v>344.31428571428569</v>
      </c>
    </row>
    <row r="218" spans="1:13" x14ac:dyDescent="0.35">
      <c r="A218" t="s">
        <v>39</v>
      </c>
      <c r="B218" t="s">
        <v>12</v>
      </c>
      <c r="C218" t="s">
        <v>13</v>
      </c>
      <c r="D218" t="s">
        <v>89</v>
      </c>
      <c r="E218" t="s">
        <v>15</v>
      </c>
      <c r="F218" s="4">
        <v>1169</v>
      </c>
      <c r="G218" s="9" t="s">
        <v>476</v>
      </c>
      <c r="H218" s="1">
        <v>45252</v>
      </c>
      <c r="I218" t="s">
        <v>17</v>
      </c>
      <c r="J218" t="s">
        <v>477</v>
      </c>
      <c r="K218" t="s">
        <v>19</v>
      </c>
      <c r="L218" s="3">
        <f t="shared" si="6"/>
        <v>21685</v>
      </c>
      <c r="M218" s="3">
        <f t="shared" si="7"/>
        <v>18.550042771599657</v>
      </c>
    </row>
    <row r="219" spans="1:13" x14ac:dyDescent="0.35">
      <c r="A219" t="s">
        <v>53</v>
      </c>
      <c r="B219" t="s">
        <v>62</v>
      </c>
      <c r="C219" t="s">
        <v>13</v>
      </c>
      <c r="D219" t="s">
        <v>22</v>
      </c>
      <c r="E219">
        <v>30</v>
      </c>
      <c r="F219" s="4">
        <v>1463</v>
      </c>
      <c r="G219" s="9" t="s">
        <v>478</v>
      </c>
      <c r="H219" s="1">
        <v>45200</v>
      </c>
      <c r="I219" t="s">
        <v>30</v>
      </c>
      <c r="J219" t="s">
        <v>479</v>
      </c>
      <c r="K219" t="s">
        <v>56</v>
      </c>
      <c r="L219" s="3">
        <f t="shared" si="6"/>
        <v>49601</v>
      </c>
      <c r="M219" s="3">
        <f t="shared" si="7"/>
        <v>33.903622693096381</v>
      </c>
    </row>
    <row r="220" spans="1:13" x14ac:dyDescent="0.35">
      <c r="A220" t="s">
        <v>39</v>
      </c>
      <c r="B220" t="s">
        <v>12</v>
      </c>
      <c r="C220" t="s">
        <v>13</v>
      </c>
      <c r="D220" t="s">
        <v>89</v>
      </c>
      <c r="E220" t="s">
        <v>15</v>
      </c>
      <c r="F220" s="4">
        <v>1091</v>
      </c>
      <c r="G220" s="9" t="s">
        <v>480</v>
      </c>
      <c r="H220" s="1">
        <v>45458</v>
      </c>
      <c r="I220" t="s">
        <v>48</v>
      </c>
      <c r="J220" t="s">
        <v>481</v>
      </c>
      <c r="K220" t="s">
        <v>32</v>
      </c>
      <c r="L220" s="3">
        <f t="shared" si="6"/>
        <v>15021</v>
      </c>
      <c r="M220" s="3">
        <f t="shared" si="7"/>
        <v>13.768102658111824</v>
      </c>
    </row>
    <row r="221" spans="1:13" x14ac:dyDescent="0.35">
      <c r="A221" t="s">
        <v>39</v>
      </c>
      <c r="B221" t="s">
        <v>62</v>
      </c>
      <c r="C221" t="s">
        <v>33</v>
      </c>
      <c r="D221" t="s">
        <v>28</v>
      </c>
      <c r="E221" t="s">
        <v>43</v>
      </c>
      <c r="F221" s="4">
        <v>230</v>
      </c>
      <c r="G221" s="9" t="s">
        <v>482</v>
      </c>
      <c r="H221" s="1">
        <v>45414</v>
      </c>
      <c r="I221" t="s">
        <v>36</v>
      </c>
      <c r="J221" t="s">
        <v>483</v>
      </c>
      <c r="K221" t="s">
        <v>56</v>
      </c>
      <c r="L221" s="3">
        <f t="shared" si="6"/>
        <v>15353</v>
      </c>
      <c r="M221" s="3">
        <f t="shared" si="7"/>
        <v>66.752173913043478</v>
      </c>
    </row>
    <row r="222" spans="1:13" x14ac:dyDescent="0.35">
      <c r="A222" t="s">
        <v>26</v>
      </c>
      <c r="B222" t="s">
        <v>20</v>
      </c>
      <c r="C222" t="s">
        <v>21</v>
      </c>
      <c r="D222" t="s">
        <v>22</v>
      </c>
      <c r="E222">
        <v>30</v>
      </c>
      <c r="F222" s="4">
        <v>1603</v>
      </c>
      <c r="G222" s="9" t="s">
        <v>484</v>
      </c>
      <c r="H222" s="1">
        <v>45274</v>
      </c>
      <c r="I222" t="s">
        <v>30</v>
      </c>
      <c r="J222" t="s">
        <v>485</v>
      </c>
      <c r="K222" t="s">
        <v>56</v>
      </c>
      <c r="L222" s="3">
        <f t="shared" si="6"/>
        <v>46470</v>
      </c>
      <c r="M222" s="3">
        <f t="shared" si="7"/>
        <v>28.989394884591391</v>
      </c>
    </row>
    <row r="223" spans="1:13" x14ac:dyDescent="0.35">
      <c r="A223" t="s">
        <v>39</v>
      </c>
      <c r="B223" t="s">
        <v>59</v>
      </c>
      <c r="C223" t="s">
        <v>27</v>
      </c>
      <c r="D223" t="s">
        <v>14</v>
      </c>
      <c r="E223">
        <v>60</v>
      </c>
      <c r="F223" s="4">
        <v>522</v>
      </c>
      <c r="G223" s="9" t="s">
        <v>486</v>
      </c>
      <c r="H223" s="1">
        <v>45500</v>
      </c>
      <c r="I223" t="s">
        <v>30</v>
      </c>
      <c r="J223" t="s">
        <v>487</v>
      </c>
      <c r="K223" t="s">
        <v>56</v>
      </c>
      <c r="L223" s="3">
        <f t="shared" si="6"/>
        <v>32783</v>
      </c>
      <c r="M223" s="3">
        <f t="shared" si="7"/>
        <v>62.802681992337163</v>
      </c>
    </row>
    <row r="224" spans="1:13" x14ac:dyDescent="0.35">
      <c r="A224" t="s">
        <v>53</v>
      </c>
      <c r="B224" t="s">
        <v>12</v>
      </c>
      <c r="C224" t="s">
        <v>21</v>
      </c>
      <c r="D224" t="s">
        <v>28</v>
      </c>
      <c r="E224" t="s">
        <v>23</v>
      </c>
      <c r="F224" s="4">
        <v>302</v>
      </c>
      <c r="G224" s="9" t="s">
        <v>488</v>
      </c>
      <c r="H224" s="1">
        <v>45362</v>
      </c>
      <c r="I224" t="s">
        <v>45</v>
      </c>
      <c r="J224" t="s">
        <v>489</v>
      </c>
      <c r="K224" t="s">
        <v>52</v>
      </c>
      <c r="L224" s="3">
        <f t="shared" si="6"/>
        <v>9722</v>
      </c>
      <c r="M224" s="3">
        <f t="shared" si="7"/>
        <v>32.192052980132452</v>
      </c>
    </row>
    <row r="225" spans="1:13" x14ac:dyDescent="0.35">
      <c r="A225" t="s">
        <v>26</v>
      </c>
      <c r="B225" t="s">
        <v>40</v>
      </c>
      <c r="C225" t="s">
        <v>13</v>
      </c>
      <c r="D225" t="s">
        <v>89</v>
      </c>
      <c r="E225" t="s">
        <v>43</v>
      </c>
      <c r="F225" s="4">
        <v>664</v>
      </c>
      <c r="G225" s="9" t="s">
        <v>490</v>
      </c>
      <c r="H225" s="1">
        <v>45276</v>
      </c>
      <c r="I225" t="s">
        <v>48</v>
      </c>
      <c r="J225" t="s">
        <v>491</v>
      </c>
      <c r="K225" t="s">
        <v>38</v>
      </c>
      <c r="L225" s="3">
        <f t="shared" si="6"/>
        <v>32835</v>
      </c>
      <c r="M225" s="3">
        <f t="shared" si="7"/>
        <v>49.450301204819276</v>
      </c>
    </row>
    <row r="226" spans="1:13" x14ac:dyDescent="0.35">
      <c r="A226" t="s">
        <v>11</v>
      </c>
      <c r="B226" t="s">
        <v>40</v>
      </c>
      <c r="C226" t="s">
        <v>13</v>
      </c>
      <c r="D226" t="s">
        <v>22</v>
      </c>
      <c r="E226">
        <v>60</v>
      </c>
      <c r="F226" s="4">
        <v>1701</v>
      </c>
      <c r="G226" s="9" t="s">
        <v>492</v>
      </c>
      <c r="H226" s="1">
        <v>45308</v>
      </c>
      <c r="I226" t="s">
        <v>36</v>
      </c>
      <c r="J226" t="s">
        <v>493</v>
      </c>
      <c r="K226" t="s">
        <v>56</v>
      </c>
      <c r="L226" s="3">
        <f t="shared" si="6"/>
        <v>36720</v>
      </c>
      <c r="M226" s="3">
        <f t="shared" si="7"/>
        <v>21.587301587301589</v>
      </c>
    </row>
    <row r="227" spans="1:13" x14ac:dyDescent="0.35">
      <c r="A227" t="s">
        <v>11</v>
      </c>
      <c r="B227" t="s">
        <v>12</v>
      </c>
      <c r="C227" t="s">
        <v>27</v>
      </c>
      <c r="D227" t="s">
        <v>22</v>
      </c>
      <c r="E227">
        <v>30</v>
      </c>
      <c r="F227" s="4">
        <v>1048</v>
      </c>
      <c r="G227" s="9" t="s">
        <v>494</v>
      </c>
      <c r="H227" s="1">
        <v>45285</v>
      </c>
      <c r="I227" t="s">
        <v>30</v>
      </c>
      <c r="J227" t="s">
        <v>495</v>
      </c>
      <c r="K227" t="s">
        <v>56</v>
      </c>
      <c r="L227" s="3">
        <f t="shared" si="6"/>
        <v>1486</v>
      </c>
      <c r="M227" s="3">
        <f t="shared" si="7"/>
        <v>1.41793893129771</v>
      </c>
    </row>
    <row r="228" spans="1:13" x14ac:dyDescent="0.35">
      <c r="A228" t="s">
        <v>86</v>
      </c>
      <c r="B228" t="s">
        <v>59</v>
      </c>
      <c r="C228" t="s">
        <v>13</v>
      </c>
      <c r="D228" t="s">
        <v>89</v>
      </c>
      <c r="E228" t="s">
        <v>43</v>
      </c>
      <c r="F228" s="4">
        <v>1570</v>
      </c>
      <c r="G228" s="9" t="s">
        <v>496</v>
      </c>
      <c r="H228" s="1">
        <v>45147</v>
      </c>
      <c r="I228" t="s">
        <v>30</v>
      </c>
      <c r="J228" t="s">
        <v>497</v>
      </c>
      <c r="K228" t="s">
        <v>32</v>
      </c>
      <c r="L228" s="3">
        <f t="shared" si="6"/>
        <v>17354</v>
      </c>
      <c r="M228" s="3">
        <f t="shared" si="7"/>
        <v>11.053503184713376</v>
      </c>
    </row>
    <row r="229" spans="1:13" x14ac:dyDescent="0.35">
      <c r="A229" t="s">
        <v>86</v>
      </c>
      <c r="B229" t="s">
        <v>20</v>
      </c>
      <c r="C229" t="s">
        <v>13</v>
      </c>
      <c r="D229" t="s">
        <v>22</v>
      </c>
      <c r="E229">
        <v>30</v>
      </c>
      <c r="F229" s="4">
        <v>109</v>
      </c>
      <c r="G229" s="9" t="s">
        <v>498</v>
      </c>
      <c r="H229" s="1">
        <v>45137</v>
      </c>
      <c r="I229" t="s">
        <v>30</v>
      </c>
      <c r="J229" t="s">
        <v>499</v>
      </c>
      <c r="K229" t="s">
        <v>56</v>
      </c>
      <c r="L229" s="3">
        <f t="shared" si="6"/>
        <v>17302</v>
      </c>
      <c r="M229" s="3">
        <f t="shared" si="7"/>
        <v>158.73394495412845</v>
      </c>
    </row>
    <row r="230" spans="1:13" x14ac:dyDescent="0.35">
      <c r="A230" t="s">
        <v>86</v>
      </c>
      <c r="B230" t="s">
        <v>62</v>
      </c>
      <c r="C230" t="s">
        <v>27</v>
      </c>
      <c r="D230" t="s">
        <v>14</v>
      </c>
      <c r="E230" t="s">
        <v>43</v>
      </c>
      <c r="F230" s="4">
        <v>141</v>
      </c>
      <c r="G230" s="9" t="s">
        <v>500</v>
      </c>
      <c r="H230" s="1">
        <v>45227</v>
      </c>
      <c r="I230" t="s">
        <v>45</v>
      </c>
      <c r="J230" t="s">
        <v>501</v>
      </c>
      <c r="K230" t="s">
        <v>56</v>
      </c>
      <c r="L230" s="3">
        <f t="shared" si="6"/>
        <v>19153</v>
      </c>
      <c r="M230" s="3">
        <f t="shared" si="7"/>
        <v>135.8368794326241</v>
      </c>
    </row>
    <row r="231" spans="1:13" x14ac:dyDescent="0.35">
      <c r="A231" t="s">
        <v>11</v>
      </c>
      <c r="B231" t="s">
        <v>20</v>
      </c>
      <c r="C231" t="s">
        <v>21</v>
      </c>
      <c r="D231" t="s">
        <v>34</v>
      </c>
      <c r="E231">
        <v>60</v>
      </c>
      <c r="F231" s="4">
        <v>1239</v>
      </c>
      <c r="G231" s="9" t="s">
        <v>502</v>
      </c>
      <c r="H231" s="1">
        <v>45297</v>
      </c>
      <c r="I231" t="s">
        <v>30</v>
      </c>
      <c r="J231" t="s">
        <v>503</v>
      </c>
      <c r="K231" t="s">
        <v>19</v>
      </c>
      <c r="L231" s="3">
        <f t="shared" si="6"/>
        <v>36616</v>
      </c>
      <c r="M231" s="3">
        <f t="shared" si="7"/>
        <v>29.552865213882164</v>
      </c>
    </row>
    <row r="232" spans="1:13" x14ac:dyDescent="0.35">
      <c r="A232" t="s">
        <v>86</v>
      </c>
      <c r="B232" t="s">
        <v>20</v>
      </c>
      <c r="C232" t="s">
        <v>13</v>
      </c>
      <c r="D232" t="s">
        <v>28</v>
      </c>
      <c r="E232">
        <v>60</v>
      </c>
      <c r="F232" s="4">
        <v>1499</v>
      </c>
      <c r="G232" s="9" t="s">
        <v>504</v>
      </c>
      <c r="H232" s="1">
        <v>45456</v>
      </c>
      <c r="I232" t="s">
        <v>30</v>
      </c>
      <c r="J232" t="s">
        <v>505</v>
      </c>
      <c r="K232" t="s">
        <v>52</v>
      </c>
      <c r="L232" s="3">
        <f t="shared" si="6"/>
        <v>4766</v>
      </c>
      <c r="M232" s="3">
        <f t="shared" si="7"/>
        <v>3.179452968645764</v>
      </c>
    </row>
    <row r="233" spans="1:13" x14ac:dyDescent="0.35">
      <c r="A233" t="s">
        <v>86</v>
      </c>
      <c r="B233" t="s">
        <v>20</v>
      </c>
      <c r="C233" t="s">
        <v>13</v>
      </c>
      <c r="D233" t="s">
        <v>34</v>
      </c>
      <c r="E233">
        <v>60</v>
      </c>
      <c r="F233" s="4">
        <v>1869</v>
      </c>
      <c r="G233" s="9" t="s">
        <v>506</v>
      </c>
      <c r="H233" s="1">
        <v>45235</v>
      </c>
      <c r="I233" t="s">
        <v>17</v>
      </c>
      <c r="J233" t="s">
        <v>507</v>
      </c>
      <c r="K233" t="s">
        <v>52</v>
      </c>
      <c r="L233" s="3">
        <f t="shared" si="6"/>
        <v>25748</v>
      </c>
      <c r="M233" s="3">
        <f t="shared" si="7"/>
        <v>13.776350989834135</v>
      </c>
    </row>
    <row r="234" spans="1:13" x14ac:dyDescent="0.35">
      <c r="A234" t="s">
        <v>39</v>
      </c>
      <c r="B234" t="s">
        <v>12</v>
      </c>
      <c r="C234" t="s">
        <v>77</v>
      </c>
      <c r="D234" t="s">
        <v>14</v>
      </c>
      <c r="E234">
        <v>30</v>
      </c>
      <c r="F234" s="4">
        <v>1355</v>
      </c>
      <c r="G234" s="9" t="s">
        <v>508</v>
      </c>
      <c r="H234" s="1">
        <v>45358</v>
      </c>
      <c r="I234" t="s">
        <v>17</v>
      </c>
      <c r="J234" t="s">
        <v>509</v>
      </c>
      <c r="K234" t="s">
        <v>19</v>
      </c>
      <c r="L234" s="3">
        <f t="shared" si="6"/>
        <v>27880</v>
      </c>
      <c r="M234" s="3">
        <f t="shared" si="7"/>
        <v>20.575645756457565</v>
      </c>
    </row>
    <row r="235" spans="1:13" x14ac:dyDescent="0.35">
      <c r="A235" t="s">
        <v>39</v>
      </c>
      <c r="B235" t="s">
        <v>40</v>
      </c>
      <c r="C235" t="s">
        <v>27</v>
      </c>
      <c r="D235" t="s">
        <v>14</v>
      </c>
      <c r="E235">
        <v>30</v>
      </c>
      <c r="F235" s="4">
        <v>1173</v>
      </c>
      <c r="G235" s="9" t="s">
        <v>510</v>
      </c>
      <c r="H235" s="1">
        <v>45300</v>
      </c>
      <c r="I235" t="s">
        <v>17</v>
      </c>
      <c r="J235" t="s">
        <v>511</v>
      </c>
      <c r="K235" t="s">
        <v>52</v>
      </c>
      <c r="L235" s="3">
        <f t="shared" si="6"/>
        <v>8649</v>
      </c>
      <c r="M235" s="3">
        <f t="shared" si="7"/>
        <v>7.3734015345268542</v>
      </c>
    </row>
    <row r="236" spans="1:13" x14ac:dyDescent="0.35">
      <c r="A236" t="s">
        <v>86</v>
      </c>
      <c r="B236" t="s">
        <v>62</v>
      </c>
      <c r="C236" t="s">
        <v>77</v>
      </c>
      <c r="D236" t="s">
        <v>34</v>
      </c>
      <c r="E236">
        <v>60</v>
      </c>
      <c r="F236" s="4">
        <v>828</v>
      </c>
      <c r="G236" s="9" t="s">
        <v>512</v>
      </c>
      <c r="H236" s="1">
        <v>45468</v>
      </c>
      <c r="I236" t="s">
        <v>48</v>
      </c>
      <c r="J236" t="s">
        <v>513</v>
      </c>
      <c r="K236" t="s">
        <v>38</v>
      </c>
      <c r="L236" s="3">
        <f t="shared" si="6"/>
        <v>30214</v>
      </c>
      <c r="M236" s="3">
        <f t="shared" si="7"/>
        <v>36.490338164251206</v>
      </c>
    </row>
    <row r="237" spans="1:13" x14ac:dyDescent="0.35">
      <c r="A237" t="s">
        <v>39</v>
      </c>
      <c r="B237" t="s">
        <v>12</v>
      </c>
      <c r="C237" t="s">
        <v>77</v>
      </c>
      <c r="D237" t="s">
        <v>14</v>
      </c>
      <c r="E237">
        <v>30</v>
      </c>
      <c r="F237" s="4">
        <v>453</v>
      </c>
      <c r="G237" s="9" t="s">
        <v>514</v>
      </c>
      <c r="H237" s="1">
        <v>45255</v>
      </c>
      <c r="I237" t="s">
        <v>45</v>
      </c>
      <c r="J237" t="s">
        <v>515</v>
      </c>
      <c r="K237" t="s">
        <v>56</v>
      </c>
      <c r="L237" s="3">
        <f t="shared" si="6"/>
        <v>10749</v>
      </c>
      <c r="M237" s="3">
        <f t="shared" si="7"/>
        <v>23.728476821192054</v>
      </c>
    </row>
    <row r="238" spans="1:13" x14ac:dyDescent="0.35">
      <c r="A238" t="s">
        <v>39</v>
      </c>
      <c r="B238" t="s">
        <v>59</v>
      </c>
      <c r="C238" t="s">
        <v>33</v>
      </c>
      <c r="D238" t="s">
        <v>89</v>
      </c>
      <c r="E238" t="s">
        <v>15</v>
      </c>
      <c r="F238" s="4">
        <v>132</v>
      </c>
      <c r="G238" s="9" t="s">
        <v>516</v>
      </c>
      <c r="H238" s="1">
        <v>45288</v>
      </c>
      <c r="I238" t="s">
        <v>36</v>
      </c>
      <c r="J238" t="s">
        <v>517</v>
      </c>
      <c r="K238" t="s">
        <v>56</v>
      </c>
      <c r="L238" s="3">
        <f t="shared" si="6"/>
        <v>17487</v>
      </c>
      <c r="M238" s="3">
        <f t="shared" si="7"/>
        <v>132.47727272727272</v>
      </c>
    </row>
    <row r="239" spans="1:13" x14ac:dyDescent="0.35">
      <c r="A239" t="s">
        <v>53</v>
      </c>
      <c r="B239" t="s">
        <v>12</v>
      </c>
      <c r="C239" t="s">
        <v>21</v>
      </c>
      <c r="D239" t="s">
        <v>14</v>
      </c>
      <c r="E239" t="s">
        <v>23</v>
      </c>
      <c r="F239" s="4">
        <v>620</v>
      </c>
      <c r="G239" s="9" t="s">
        <v>518</v>
      </c>
      <c r="H239" s="1">
        <v>45231</v>
      </c>
      <c r="I239" t="s">
        <v>36</v>
      </c>
      <c r="J239" t="s">
        <v>519</v>
      </c>
      <c r="K239" t="s">
        <v>32</v>
      </c>
      <c r="L239" s="3">
        <f t="shared" si="6"/>
        <v>32593</v>
      </c>
      <c r="M239" s="3">
        <f t="shared" si="7"/>
        <v>52.569354838709678</v>
      </c>
    </row>
    <row r="240" spans="1:13" x14ac:dyDescent="0.35">
      <c r="A240" t="s">
        <v>26</v>
      </c>
      <c r="B240" t="s">
        <v>20</v>
      </c>
      <c r="C240" t="s">
        <v>13</v>
      </c>
      <c r="D240" t="s">
        <v>34</v>
      </c>
      <c r="E240" t="s">
        <v>15</v>
      </c>
      <c r="F240" s="4">
        <v>1423</v>
      </c>
      <c r="G240" s="9" t="s">
        <v>520</v>
      </c>
      <c r="H240" s="1">
        <v>45388</v>
      </c>
      <c r="I240" t="s">
        <v>30</v>
      </c>
      <c r="J240" t="s">
        <v>521</v>
      </c>
      <c r="K240" t="s">
        <v>32</v>
      </c>
      <c r="L240" s="3">
        <f t="shared" si="6"/>
        <v>21911</v>
      </c>
      <c r="M240" s="3">
        <f t="shared" si="7"/>
        <v>15.397751229796205</v>
      </c>
    </row>
    <row r="241" spans="1:13" x14ac:dyDescent="0.35">
      <c r="A241" t="s">
        <v>11</v>
      </c>
      <c r="B241" t="s">
        <v>62</v>
      </c>
      <c r="C241" t="s">
        <v>21</v>
      </c>
      <c r="D241" t="s">
        <v>22</v>
      </c>
      <c r="E241" t="s">
        <v>15</v>
      </c>
      <c r="F241" s="4">
        <v>1308</v>
      </c>
      <c r="G241" s="9" t="s">
        <v>522</v>
      </c>
      <c r="H241" s="1">
        <v>45499</v>
      </c>
      <c r="I241" t="s">
        <v>17</v>
      </c>
      <c r="J241" t="s">
        <v>523</v>
      </c>
      <c r="K241" t="s">
        <v>19</v>
      </c>
      <c r="L241" s="3">
        <f t="shared" si="6"/>
        <v>16623</v>
      </c>
      <c r="M241" s="3">
        <f t="shared" si="7"/>
        <v>12.708715596330276</v>
      </c>
    </row>
    <row r="242" spans="1:13" x14ac:dyDescent="0.35">
      <c r="A242" t="s">
        <v>26</v>
      </c>
      <c r="B242" t="s">
        <v>59</v>
      </c>
      <c r="C242" t="s">
        <v>33</v>
      </c>
      <c r="D242" t="s">
        <v>22</v>
      </c>
      <c r="E242">
        <v>60</v>
      </c>
      <c r="F242" s="4">
        <v>460</v>
      </c>
      <c r="G242" s="9" t="s">
        <v>524</v>
      </c>
      <c r="H242" s="1">
        <v>45367</v>
      </c>
      <c r="I242" t="s">
        <v>30</v>
      </c>
      <c r="J242" t="s">
        <v>525</v>
      </c>
      <c r="K242" t="s">
        <v>38</v>
      </c>
      <c r="L242" s="3">
        <f t="shared" si="6"/>
        <v>29993</v>
      </c>
      <c r="M242" s="3">
        <f t="shared" si="7"/>
        <v>65.202173913043481</v>
      </c>
    </row>
    <row r="243" spans="1:13" x14ac:dyDescent="0.35">
      <c r="A243" t="s">
        <v>11</v>
      </c>
      <c r="B243" t="s">
        <v>62</v>
      </c>
      <c r="C243" t="s">
        <v>33</v>
      </c>
      <c r="D243" t="s">
        <v>28</v>
      </c>
      <c r="E243" t="s">
        <v>43</v>
      </c>
      <c r="F243" s="4">
        <v>1598</v>
      </c>
      <c r="G243" s="9" t="s">
        <v>526</v>
      </c>
      <c r="H243" s="1">
        <v>45311</v>
      </c>
      <c r="I243" t="s">
        <v>48</v>
      </c>
      <c r="J243" t="s">
        <v>527</v>
      </c>
      <c r="K243" t="s">
        <v>52</v>
      </c>
      <c r="L243" s="3">
        <f t="shared" si="6"/>
        <v>43114</v>
      </c>
      <c r="M243" s="3">
        <f t="shared" si="7"/>
        <v>26.979974968710888</v>
      </c>
    </row>
    <row r="244" spans="1:13" x14ac:dyDescent="0.35">
      <c r="A244" t="s">
        <v>26</v>
      </c>
      <c r="B244" t="s">
        <v>12</v>
      </c>
      <c r="C244" t="s">
        <v>13</v>
      </c>
      <c r="D244" t="s">
        <v>14</v>
      </c>
      <c r="E244" t="s">
        <v>15</v>
      </c>
      <c r="F244" s="4">
        <v>978</v>
      </c>
      <c r="G244" s="9" t="s">
        <v>528</v>
      </c>
      <c r="H244" s="1">
        <v>45260</v>
      </c>
      <c r="I244" t="s">
        <v>45</v>
      </c>
      <c r="J244" t="s">
        <v>529</v>
      </c>
      <c r="K244" t="s">
        <v>32</v>
      </c>
      <c r="L244" s="3">
        <f t="shared" si="6"/>
        <v>46578</v>
      </c>
      <c r="M244" s="3">
        <f t="shared" si="7"/>
        <v>47.625766871165645</v>
      </c>
    </row>
    <row r="245" spans="1:13" x14ac:dyDescent="0.35">
      <c r="A245" t="s">
        <v>11</v>
      </c>
      <c r="B245" t="s">
        <v>62</v>
      </c>
      <c r="C245" t="s">
        <v>13</v>
      </c>
      <c r="D245" t="s">
        <v>28</v>
      </c>
      <c r="E245" t="s">
        <v>23</v>
      </c>
      <c r="F245" s="4">
        <v>1484</v>
      </c>
      <c r="G245" s="9" t="s">
        <v>530</v>
      </c>
      <c r="H245" s="1">
        <v>45439</v>
      </c>
      <c r="I245" t="s">
        <v>48</v>
      </c>
      <c r="J245" t="s">
        <v>531</v>
      </c>
      <c r="K245" t="s">
        <v>38</v>
      </c>
      <c r="L245" s="3">
        <f t="shared" si="6"/>
        <v>15499</v>
      </c>
      <c r="M245" s="3">
        <f t="shared" si="7"/>
        <v>10.444070080862534</v>
      </c>
    </row>
    <row r="246" spans="1:13" x14ac:dyDescent="0.35">
      <c r="A246" t="s">
        <v>53</v>
      </c>
      <c r="B246" t="s">
        <v>40</v>
      </c>
      <c r="C246" t="s">
        <v>21</v>
      </c>
      <c r="D246" t="s">
        <v>22</v>
      </c>
      <c r="E246" t="s">
        <v>23</v>
      </c>
      <c r="F246" s="4">
        <v>1807</v>
      </c>
      <c r="G246" s="9" t="s">
        <v>532</v>
      </c>
      <c r="H246" s="1">
        <v>45180</v>
      </c>
      <c r="I246" t="s">
        <v>17</v>
      </c>
      <c r="J246" t="s">
        <v>533</v>
      </c>
      <c r="K246" t="s">
        <v>19</v>
      </c>
      <c r="L246" s="3">
        <f t="shared" si="6"/>
        <v>37740</v>
      </c>
      <c r="M246" s="3">
        <f t="shared" si="7"/>
        <v>20.885445489762038</v>
      </c>
    </row>
    <row r="247" spans="1:13" x14ac:dyDescent="0.35">
      <c r="A247" t="s">
        <v>86</v>
      </c>
      <c r="B247" t="s">
        <v>62</v>
      </c>
      <c r="C247" t="s">
        <v>13</v>
      </c>
      <c r="D247" t="s">
        <v>14</v>
      </c>
      <c r="E247" t="s">
        <v>15</v>
      </c>
      <c r="F247" s="4">
        <v>1197</v>
      </c>
      <c r="G247" s="9" t="s">
        <v>534</v>
      </c>
      <c r="H247" s="1">
        <v>45350</v>
      </c>
      <c r="I247" t="s">
        <v>17</v>
      </c>
      <c r="J247" t="s">
        <v>535</v>
      </c>
      <c r="K247" t="s">
        <v>52</v>
      </c>
      <c r="L247" s="3">
        <f t="shared" si="6"/>
        <v>36217</v>
      </c>
      <c r="M247" s="3">
        <f t="shared" si="7"/>
        <v>30.256474519632416</v>
      </c>
    </row>
    <row r="248" spans="1:13" x14ac:dyDescent="0.35">
      <c r="A248" t="s">
        <v>53</v>
      </c>
      <c r="B248" t="s">
        <v>20</v>
      </c>
      <c r="C248" t="s">
        <v>33</v>
      </c>
      <c r="D248" t="s">
        <v>14</v>
      </c>
      <c r="E248">
        <v>30</v>
      </c>
      <c r="F248" s="4">
        <v>1169</v>
      </c>
      <c r="G248" s="9" t="s">
        <v>536</v>
      </c>
      <c r="H248" s="1">
        <v>45454</v>
      </c>
      <c r="I248" t="s">
        <v>17</v>
      </c>
      <c r="J248" t="s">
        <v>537</v>
      </c>
      <c r="K248" t="s">
        <v>52</v>
      </c>
      <c r="L248" s="3">
        <f t="shared" si="6"/>
        <v>33004</v>
      </c>
      <c r="M248" s="3">
        <f t="shared" si="7"/>
        <v>28.232677502138579</v>
      </c>
    </row>
    <row r="249" spans="1:13" x14ac:dyDescent="0.35">
      <c r="A249" t="s">
        <v>39</v>
      </c>
      <c r="B249" t="s">
        <v>20</v>
      </c>
      <c r="C249" t="s">
        <v>77</v>
      </c>
      <c r="D249" t="s">
        <v>34</v>
      </c>
      <c r="E249" t="s">
        <v>43</v>
      </c>
      <c r="F249" s="4">
        <v>1713</v>
      </c>
      <c r="G249" s="9" t="s">
        <v>538</v>
      </c>
      <c r="H249" s="1">
        <v>45172</v>
      </c>
      <c r="I249" t="s">
        <v>48</v>
      </c>
      <c r="J249" t="s">
        <v>539</v>
      </c>
      <c r="K249" t="s">
        <v>52</v>
      </c>
      <c r="L249" s="3">
        <f t="shared" si="6"/>
        <v>30761</v>
      </c>
      <c r="M249" s="3">
        <f t="shared" si="7"/>
        <v>17.957384705195562</v>
      </c>
    </row>
    <row r="250" spans="1:13" x14ac:dyDescent="0.35">
      <c r="A250" t="s">
        <v>86</v>
      </c>
      <c r="B250" t="s">
        <v>20</v>
      </c>
      <c r="C250" t="s">
        <v>33</v>
      </c>
      <c r="D250" t="s">
        <v>22</v>
      </c>
      <c r="E250" t="s">
        <v>23</v>
      </c>
      <c r="F250" s="4">
        <v>1245</v>
      </c>
      <c r="G250" s="9" t="s">
        <v>540</v>
      </c>
      <c r="H250" s="1">
        <v>45241</v>
      </c>
      <c r="I250" t="s">
        <v>30</v>
      </c>
      <c r="J250" t="s">
        <v>541</v>
      </c>
      <c r="K250" t="s">
        <v>38</v>
      </c>
      <c r="L250" s="3">
        <f t="shared" si="6"/>
        <v>32469</v>
      </c>
      <c r="M250" s="3">
        <f t="shared" si="7"/>
        <v>26.079518072289158</v>
      </c>
    </row>
    <row r="251" spans="1:13" x14ac:dyDescent="0.35">
      <c r="A251" t="s">
        <v>11</v>
      </c>
      <c r="B251" t="s">
        <v>20</v>
      </c>
      <c r="C251" t="s">
        <v>33</v>
      </c>
      <c r="D251" t="s">
        <v>34</v>
      </c>
      <c r="E251" t="s">
        <v>15</v>
      </c>
      <c r="F251" s="4">
        <v>454</v>
      </c>
      <c r="G251" s="9" t="s">
        <v>542</v>
      </c>
      <c r="H251" s="1">
        <v>45310</v>
      </c>
      <c r="I251" t="s">
        <v>45</v>
      </c>
      <c r="J251" t="s">
        <v>543</v>
      </c>
      <c r="K251" t="s">
        <v>52</v>
      </c>
      <c r="L251" s="3">
        <f t="shared" si="6"/>
        <v>37133</v>
      </c>
      <c r="M251" s="3">
        <f t="shared" si="7"/>
        <v>81.790748898678416</v>
      </c>
    </row>
    <row r="252" spans="1:13" x14ac:dyDescent="0.35">
      <c r="A252" t="s">
        <v>39</v>
      </c>
      <c r="B252" t="s">
        <v>59</v>
      </c>
      <c r="C252" t="s">
        <v>21</v>
      </c>
      <c r="D252" t="s">
        <v>34</v>
      </c>
      <c r="E252">
        <v>30</v>
      </c>
      <c r="F252" s="4">
        <v>1550</v>
      </c>
      <c r="G252" s="9" t="s">
        <v>544</v>
      </c>
      <c r="H252" s="1">
        <v>45178</v>
      </c>
      <c r="I252" t="s">
        <v>48</v>
      </c>
      <c r="J252" t="s">
        <v>545</v>
      </c>
      <c r="K252" t="s">
        <v>52</v>
      </c>
      <c r="L252" s="3">
        <f t="shared" si="6"/>
        <v>45767</v>
      </c>
      <c r="M252" s="3">
        <f t="shared" si="7"/>
        <v>29.527096774193549</v>
      </c>
    </row>
    <row r="253" spans="1:13" x14ac:dyDescent="0.35">
      <c r="A253" t="s">
        <v>86</v>
      </c>
      <c r="B253" t="s">
        <v>40</v>
      </c>
      <c r="C253" t="s">
        <v>77</v>
      </c>
      <c r="D253" t="s">
        <v>28</v>
      </c>
      <c r="E253" t="s">
        <v>23</v>
      </c>
      <c r="F253" s="4">
        <v>1488</v>
      </c>
      <c r="G253" s="9" t="s">
        <v>546</v>
      </c>
      <c r="H253" s="1">
        <v>45484</v>
      </c>
      <c r="I253" t="s">
        <v>48</v>
      </c>
      <c r="J253" t="s">
        <v>547</v>
      </c>
      <c r="K253" t="s">
        <v>52</v>
      </c>
      <c r="L253" s="3">
        <f t="shared" si="6"/>
        <v>19770</v>
      </c>
      <c r="M253" s="3">
        <f t="shared" si="7"/>
        <v>13.286290322580646</v>
      </c>
    </row>
    <row r="254" spans="1:13" x14ac:dyDescent="0.35">
      <c r="A254" t="s">
        <v>11</v>
      </c>
      <c r="B254" t="s">
        <v>40</v>
      </c>
      <c r="C254" t="s">
        <v>77</v>
      </c>
      <c r="D254" t="s">
        <v>89</v>
      </c>
      <c r="E254">
        <v>30</v>
      </c>
      <c r="F254" s="4">
        <v>1207</v>
      </c>
      <c r="G254" s="9" t="s">
        <v>548</v>
      </c>
      <c r="H254" s="1">
        <v>45238</v>
      </c>
      <c r="I254" t="s">
        <v>45</v>
      </c>
      <c r="J254" t="s">
        <v>549</v>
      </c>
      <c r="K254" t="s">
        <v>38</v>
      </c>
      <c r="L254" s="3">
        <f t="shared" si="6"/>
        <v>29546</v>
      </c>
      <c r="M254" s="3">
        <f t="shared" si="7"/>
        <v>24.47887323943662</v>
      </c>
    </row>
    <row r="255" spans="1:13" x14ac:dyDescent="0.35">
      <c r="A255" t="s">
        <v>26</v>
      </c>
      <c r="B255" t="s">
        <v>12</v>
      </c>
      <c r="C255" t="s">
        <v>33</v>
      </c>
      <c r="D255" t="s">
        <v>22</v>
      </c>
      <c r="E255">
        <v>30</v>
      </c>
      <c r="F255" s="4">
        <v>751</v>
      </c>
      <c r="G255" s="9" t="s">
        <v>550</v>
      </c>
      <c r="H255" s="1">
        <v>45398</v>
      </c>
      <c r="I255" t="s">
        <v>45</v>
      </c>
      <c r="J255" t="s">
        <v>551</v>
      </c>
      <c r="K255" t="s">
        <v>19</v>
      </c>
      <c r="L255" s="3">
        <f t="shared" si="6"/>
        <v>46620</v>
      </c>
      <c r="M255" s="3">
        <f t="shared" si="7"/>
        <v>62.077230359520641</v>
      </c>
    </row>
    <row r="256" spans="1:13" x14ac:dyDescent="0.35">
      <c r="A256" t="s">
        <v>53</v>
      </c>
      <c r="B256" t="s">
        <v>40</v>
      </c>
      <c r="C256" t="s">
        <v>33</v>
      </c>
      <c r="D256" t="s">
        <v>14</v>
      </c>
      <c r="E256">
        <v>60</v>
      </c>
      <c r="F256" s="4">
        <v>1388</v>
      </c>
      <c r="G256" s="9" t="s">
        <v>552</v>
      </c>
      <c r="H256" s="1">
        <v>45317</v>
      </c>
      <c r="I256" t="s">
        <v>30</v>
      </c>
      <c r="J256" t="s">
        <v>553</v>
      </c>
      <c r="K256" t="s">
        <v>19</v>
      </c>
      <c r="L256" s="3">
        <f t="shared" si="6"/>
        <v>44954</v>
      </c>
      <c r="M256" s="3">
        <f t="shared" si="7"/>
        <v>32.387608069164266</v>
      </c>
    </row>
    <row r="257" spans="1:13" x14ac:dyDescent="0.35">
      <c r="A257" t="s">
        <v>86</v>
      </c>
      <c r="B257" t="s">
        <v>20</v>
      </c>
      <c r="C257" t="s">
        <v>13</v>
      </c>
      <c r="D257" t="s">
        <v>14</v>
      </c>
      <c r="E257" t="s">
        <v>23</v>
      </c>
      <c r="F257" s="4">
        <v>712</v>
      </c>
      <c r="G257" s="9" t="s">
        <v>554</v>
      </c>
      <c r="H257" s="1">
        <v>45248</v>
      </c>
      <c r="I257" t="s">
        <v>30</v>
      </c>
      <c r="J257" t="s">
        <v>555</v>
      </c>
      <c r="K257" t="s">
        <v>32</v>
      </c>
      <c r="L257" s="3">
        <f t="shared" si="6"/>
        <v>24140</v>
      </c>
      <c r="M257" s="3">
        <f t="shared" si="7"/>
        <v>33.90449438202247</v>
      </c>
    </row>
    <row r="258" spans="1:13" x14ac:dyDescent="0.35">
      <c r="A258" t="s">
        <v>53</v>
      </c>
      <c r="B258" t="s">
        <v>59</v>
      </c>
      <c r="C258" t="s">
        <v>13</v>
      </c>
      <c r="D258" t="s">
        <v>22</v>
      </c>
      <c r="E258" t="s">
        <v>23</v>
      </c>
      <c r="F258" s="4">
        <v>1428</v>
      </c>
      <c r="G258" s="9" t="s">
        <v>556</v>
      </c>
      <c r="H258" s="1">
        <v>45331</v>
      </c>
      <c r="I258" t="s">
        <v>36</v>
      </c>
      <c r="J258" t="s">
        <v>557</v>
      </c>
      <c r="K258" t="s">
        <v>32</v>
      </c>
      <c r="L258" s="3">
        <f t="shared" ref="L258:L321" si="8">VALUE(SUBSTITUTE(G258,"$",""))</f>
        <v>1848</v>
      </c>
      <c r="M258" s="3">
        <f t="shared" si="7"/>
        <v>1.2941176470588236</v>
      </c>
    </row>
    <row r="259" spans="1:13" x14ac:dyDescent="0.35">
      <c r="A259" t="s">
        <v>11</v>
      </c>
      <c r="B259" t="s">
        <v>59</v>
      </c>
      <c r="C259" t="s">
        <v>33</v>
      </c>
      <c r="D259" t="s">
        <v>89</v>
      </c>
      <c r="E259" t="s">
        <v>23</v>
      </c>
      <c r="F259" s="4">
        <v>1437</v>
      </c>
      <c r="G259" s="9" t="s">
        <v>558</v>
      </c>
      <c r="H259" s="1">
        <v>45382</v>
      </c>
      <c r="I259" t="s">
        <v>17</v>
      </c>
      <c r="J259" t="s">
        <v>559</v>
      </c>
      <c r="K259" t="s">
        <v>32</v>
      </c>
      <c r="L259" s="3">
        <f t="shared" si="8"/>
        <v>1329</v>
      </c>
      <c r="M259" s="3">
        <f t="shared" ref="M259:M322" si="9">VALUE(SUBSTITUTE(SUBSTITUTE(G259,"$",""),",",""))/F259</f>
        <v>0.92484342379958251</v>
      </c>
    </row>
    <row r="260" spans="1:13" x14ac:dyDescent="0.35">
      <c r="A260" t="s">
        <v>26</v>
      </c>
      <c r="B260" t="s">
        <v>62</v>
      </c>
      <c r="C260" t="s">
        <v>77</v>
      </c>
      <c r="D260" t="s">
        <v>28</v>
      </c>
      <c r="E260">
        <v>60</v>
      </c>
      <c r="F260" s="4">
        <v>818</v>
      </c>
      <c r="G260" s="9" t="s">
        <v>560</v>
      </c>
      <c r="H260" s="1">
        <v>45364</v>
      </c>
      <c r="I260" t="s">
        <v>45</v>
      </c>
      <c r="J260" t="s">
        <v>561</v>
      </c>
      <c r="K260" t="s">
        <v>19</v>
      </c>
      <c r="L260" s="3">
        <f t="shared" si="8"/>
        <v>34522</v>
      </c>
      <c r="M260" s="3">
        <f t="shared" si="9"/>
        <v>42.202933985330077</v>
      </c>
    </row>
    <row r="261" spans="1:13" x14ac:dyDescent="0.35">
      <c r="A261" t="s">
        <v>86</v>
      </c>
      <c r="B261" t="s">
        <v>59</v>
      </c>
      <c r="C261" t="s">
        <v>13</v>
      </c>
      <c r="D261" t="s">
        <v>34</v>
      </c>
      <c r="E261">
        <v>30</v>
      </c>
      <c r="F261" s="4">
        <v>1094</v>
      </c>
      <c r="G261" s="9" t="s">
        <v>562</v>
      </c>
      <c r="H261" s="1">
        <v>45423</v>
      </c>
      <c r="I261" t="s">
        <v>45</v>
      </c>
      <c r="J261" t="s">
        <v>563</v>
      </c>
      <c r="K261" t="s">
        <v>52</v>
      </c>
      <c r="L261" s="3">
        <f t="shared" si="8"/>
        <v>34972</v>
      </c>
      <c r="M261" s="3">
        <f t="shared" si="9"/>
        <v>31.967093235831811</v>
      </c>
    </row>
    <row r="262" spans="1:13" x14ac:dyDescent="0.35">
      <c r="A262" t="s">
        <v>39</v>
      </c>
      <c r="B262" t="s">
        <v>12</v>
      </c>
      <c r="C262" t="s">
        <v>27</v>
      </c>
      <c r="D262" t="s">
        <v>28</v>
      </c>
      <c r="E262">
        <v>60</v>
      </c>
      <c r="F262" s="4">
        <v>1882</v>
      </c>
      <c r="G262" s="9" t="s">
        <v>564</v>
      </c>
      <c r="H262" s="1">
        <v>45277</v>
      </c>
      <c r="I262" t="s">
        <v>17</v>
      </c>
      <c r="J262" t="s">
        <v>565</v>
      </c>
      <c r="K262" t="s">
        <v>32</v>
      </c>
      <c r="L262" s="3">
        <f t="shared" si="8"/>
        <v>1492</v>
      </c>
      <c r="M262" s="3">
        <f t="shared" si="9"/>
        <v>0.7927736450584485</v>
      </c>
    </row>
    <row r="263" spans="1:13" x14ac:dyDescent="0.35">
      <c r="A263" t="s">
        <v>86</v>
      </c>
      <c r="B263" t="s">
        <v>40</v>
      </c>
      <c r="C263" t="s">
        <v>13</v>
      </c>
      <c r="D263" t="s">
        <v>89</v>
      </c>
      <c r="E263" t="s">
        <v>43</v>
      </c>
      <c r="F263" s="4">
        <v>1247</v>
      </c>
      <c r="G263" s="9" t="s">
        <v>566</v>
      </c>
      <c r="H263" s="1">
        <v>45337</v>
      </c>
      <c r="I263" t="s">
        <v>45</v>
      </c>
      <c r="J263" t="s">
        <v>567</v>
      </c>
      <c r="K263" t="s">
        <v>32</v>
      </c>
      <c r="L263" s="3">
        <f t="shared" si="8"/>
        <v>40432</v>
      </c>
      <c r="M263" s="3">
        <f t="shared" si="9"/>
        <v>32.423416198877305</v>
      </c>
    </row>
    <row r="264" spans="1:13" x14ac:dyDescent="0.35">
      <c r="A264" t="s">
        <v>39</v>
      </c>
      <c r="B264" t="s">
        <v>59</v>
      </c>
      <c r="C264" t="s">
        <v>27</v>
      </c>
      <c r="D264" t="s">
        <v>22</v>
      </c>
      <c r="E264" t="s">
        <v>23</v>
      </c>
      <c r="F264" s="4">
        <v>1989</v>
      </c>
      <c r="G264" s="9" t="s">
        <v>568</v>
      </c>
      <c r="H264" s="1">
        <v>45224</v>
      </c>
      <c r="I264" t="s">
        <v>48</v>
      </c>
      <c r="J264" t="s">
        <v>569</v>
      </c>
      <c r="K264" t="s">
        <v>32</v>
      </c>
      <c r="L264" s="3">
        <f t="shared" si="8"/>
        <v>14261</v>
      </c>
      <c r="M264" s="3">
        <f t="shared" si="9"/>
        <v>7.1699346405228761</v>
      </c>
    </row>
    <row r="265" spans="1:13" x14ac:dyDescent="0.35">
      <c r="A265" t="s">
        <v>53</v>
      </c>
      <c r="B265" t="s">
        <v>20</v>
      </c>
      <c r="C265" t="s">
        <v>21</v>
      </c>
      <c r="D265" t="s">
        <v>28</v>
      </c>
      <c r="E265" t="s">
        <v>23</v>
      </c>
      <c r="F265" s="4">
        <v>1725</v>
      </c>
      <c r="G265" s="9" t="s">
        <v>570</v>
      </c>
      <c r="H265" s="1">
        <v>45248</v>
      </c>
      <c r="I265" t="s">
        <v>17</v>
      </c>
      <c r="J265" t="s">
        <v>571</v>
      </c>
      <c r="K265" t="s">
        <v>52</v>
      </c>
      <c r="L265" s="3">
        <f t="shared" si="8"/>
        <v>26182</v>
      </c>
      <c r="M265" s="3">
        <f t="shared" si="9"/>
        <v>15.177971014492753</v>
      </c>
    </row>
    <row r="266" spans="1:13" x14ac:dyDescent="0.35">
      <c r="A266" t="s">
        <v>26</v>
      </c>
      <c r="B266" t="s">
        <v>40</v>
      </c>
      <c r="C266" t="s">
        <v>21</v>
      </c>
      <c r="D266" t="s">
        <v>28</v>
      </c>
      <c r="E266" t="s">
        <v>15</v>
      </c>
      <c r="F266" s="4">
        <v>815</v>
      </c>
      <c r="G266" s="9" t="s">
        <v>572</v>
      </c>
      <c r="H266" s="1">
        <v>45204</v>
      </c>
      <c r="I266" t="s">
        <v>36</v>
      </c>
      <c r="J266" t="s">
        <v>573</v>
      </c>
      <c r="K266" t="s">
        <v>38</v>
      </c>
      <c r="L266" s="3">
        <f t="shared" si="8"/>
        <v>33782</v>
      </c>
      <c r="M266" s="3">
        <f t="shared" si="9"/>
        <v>41.450306748466261</v>
      </c>
    </row>
    <row r="267" spans="1:13" x14ac:dyDescent="0.35">
      <c r="A267" t="s">
        <v>86</v>
      </c>
      <c r="B267" t="s">
        <v>12</v>
      </c>
      <c r="C267" t="s">
        <v>77</v>
      </c>
      <c r="D267" t="s">
        <v>89</v>
      </c>
      <c r="E267">
        <v>60</v>
      </c>
      <c r="F267" s="4">
        <v>135</v>
      </c>
      <c r="G267" s="9" t="s">
        <v>574</v>
      </c>
      <c r="H267" s="1">
        <v>45389</v>
      </c>
      <c r="I267" t="s">
        <v>45</v>
      </c>
      <c r="J267" t="s">
        <v>575</v>
      </c>
      <c r="K267" t="s">
        <v>19</v>
      </c>
      <c r="L267" s="3">
        <f t="shared" si="8"/>
        <v>40651</v>
      </c>
      <c r="M267" s="3">
        <f t="shared" si="9"/>
        <v>301.1185185185185</v>
      </c>
    </row>
    <row r="268" spans="1:13" x14ac:dyDescent="0.35">
      <c r="A268" t="s">
        <v>53</v>
      </c>
      <c r="B268" t="s">
        <v>20</v>
      </c>
      <c r="C268" t="s">
        <v>77</v>
      </c>
      <c r="D268" t="s">
        <v>22</v>
      </c>
      <c r="E268">
        <v>30</v>
      </c>
      <c r="F268" s="4">
        <v>1664</v>
      </c>
      <c r="G268" s="9" t="s">
        <v>576</v>
      </c>
      <c r="H268" s="1">
        <v>45466</v>
      </c>
      <c r="I268" t="s">
        <v>17</v>
      </c>
      <c r="J268" t="s">
        <v>577</v>
      </c>
      <c r="K268" t="s">
        <v>52</v>
      </c>
      <c r="L268" s="3">
        <f t="shared" si="8"/>
        <v>25573</v>
      </c>
      <c r="M268" s="3">
        <f t="shared" si="9"/>
        <v>15.368389423076923</v>
      </c>
    </row>
    <row r="269" spans="1:13" x14ac:dyDescent="0.35">
      <c r="A269" t="s">
        <v>86</v>
      </c>
      <c r="B269" t="s">
        <v>40</v>
      </c>
      <c r="C269" t="s">
        <v>77</v>
      </c>
      <c r="D269" t="s">
        <v>28</v>
      </c>
      <c r="E269" t="s">
        <v>15</v>
      </c>
      <c r="F269" s="4">
        <v>1402</v>
      </c>
      <c r="G269" s="9" t="s">
        <v>578</v>
      </c>
      <c r="H269" s="1">
        <v>45216</v>
      </c>
      <c r="I269" t="s">
        <v>36</v>
      </c>
      <c r="J269" t="s">
        <v>579</v>
      </c>
      <c r="K269" t="s">
        <v>19</v>
      </c>
      <c r="L269" s="3">
        <f t="shared" si="8"/>
        <v>31956</v>
      </c>
      <c r="M269" s="3">
        <f t="shared" si="9"/>
        <v>22.793152639087019</v>
      </c>
    </row>
    <row r="270" spans="1:13" x14ac:dyDescent="0.35">
      <c r="A270" t="s">
        <v>11</v>
      </c>
      <c r="B270" t="s">
        <v>20</v>
      </c>
      <c r="C270" t="s">
        <v>27</v>
      </c>
      <c r="D270" t="s">
        <v>89</v>
      </c>
      <c r="E270" t="s">
        <v>43</v>
      </c>
      <c r="F270" s="4">
        <v>153</v>
      </c>
      <c r="G270" s="9" t="s">
        <v>580</v>
      </c>
      <c r="H270" s="1">
        <v>45298</v>
      </c>
      <c r="I270" t="s">
        <v>30</v>
      </c>
      <c r="J270" t="s">
        <v>581</v>
      </c>
      <c r="K270" t="s">
        <v>38</v>
      </c>
      <c r="L270" s="3">
        <f t="shared" si="8"/>
        <v>30983</v>
      </c>
      <c r="M270" s="3">
        <f t="shared" si="9"/>
        <v>202.5032679738562</v>
      </c>
    </row>
    <row r="271" spans="1:13" x14ac:dyDescent="0.35">
      <c r="A271" t="s">
        <v>11</v>
      </c>
      <c r="B271" t="s">
        <v>20</v>
      </c>
      <c r="C271" t="s">
        <v>13</v>
      </c>
      <c r="D271" t="s">
        <v>89</v>
      </c>
      <c r="E271">
        <v>60</v>
      </c>
      <c r="F271" s="4">
        <v>399</v>
      </c>
      <c r="G271" s="9" t="s">
        <v>582</v>
      </c>
      <c r="H271" s="1">
        <v>45477</v>
      </c>
      <c r="I271" t="s">
        <v>45</v>
      </c>
      <c r="J271" t="s">
        <v>583</v>
      </c>
      <c r="K271" t="s">
        <v>32</v>
      </c>
      <c r="L271" s="3">
        <f t="shared" si="8"/>
        <v>21160</v>
      </c>
      <c r="M271" s="3">
        <f t="shared" si="9"/>
        <v>53.032581453634087</v>
      </c>
    </row>
    <row r="272" spans="1:13" x14ac:dyDescent="0.35">
      <c r="A272" t="s">
        <v>39</v>
      </c>
      <c r="B272" t="s">
        <v>20</v>
      </c>
      <c r="C272" t="s">
        <v>21</v>
      </c>
      <c r="D272" t="s">
        <v>14</v>
      </c>
      <c r="E272" t="s">
        <v>15</v>
      </c>
      <c r="F272" s="4">
        <v>314</v>
      </c>
      <c r="G272" s="9" t="s">
        <v>584</v>
      </c>
      <c r="H272" s="1">
        <v>45337</v>
      </c>
      <c r="I272" t="s">
        <v>48</v>
      </c>
      <c r="J272" t="s">
        <v>585</v>
      </c>
      <c r="K272" t="s">
        <v>38</v>
      </c>
      <c r="L272" s="3">
        <f t="shared" si="8"/>
        <v>43409</v>
      </c>
      <c r="M272" s="3">
        <f t="shared" si="9"/>
        <v>138.24522292993632</v>
      </c>
    </row>
    <row r="273" spans="1:13" x14ac:dyDescent="0.35">
      <c r="A273" t="s">
        <v>86</v>
      </c>
      <c r="B273" t="s">
        <v>40</v>
      </c>
      <c r="C273" t="s">
        <v>21</v>
      </c>
      <c r="D273" t="s">
        <v>14</v>
      </c>
      <c r="E273">
        <v>60</v>
      </c>
      <c r="F273" s="4">
        <v>504</v>
      </c>
      <c r="G273" s="9" t="s">
        <v>586</v>
      </c>
      <c r="H273" s="1">
        <v>45394</v>
      </c>
      <c r="I273" t="s">
        <v>17</v>
      </c>
      <c r="J273" t="s">
        <v>587</v>
      </c>
      <c r="K273" t="s">
        <v>38</v>
      </c>
      <c r="L273" s="3">
        <f t="shared" si="8"/>
        <v>46392</v>
      </c>
      <c r="M273" s="3">
        <f t="shared" si="9"/>
        <v>92.047619047619051</v>
      </c>
    </row>
    <row r="274" spans="1:13" x14ac:dyDescent="0.35">
      <c r="A274" t="s">
        <v>11</v>
      </c>
      <c r="B274" t="s">
        <v>12</v>
      </c>
      <c r="C274" t="s">
        <v>33</v>
      </c>
      <c r="D274" t="s">
        <v>89</v>
      </c>
      <c r="E274">
        <v>30</v>
      </c>
      <c r="F274" s="4">
        <v>214</v>
      </c>
      <c r="G274" s="9" t="s">
        <v>588</v>
      </c>
      <c r="H274" s="1">
        <v>45232</v>
      </c>
      <c r="I274" t="s">
        <v>36</v>
      </c>
      <c r="J274" t="s">
        <v>589</v>
      </c>
      <c r="K274" t="s">
        <v>32</v>
      </c>
      <c r="L274" s="3">
        <f t="shared" si="8"/>
        <v>10257</v>
      </c>
      <c r="M274" s="3">
        <f t="shared" si="9"/>
        <v>47.929906542056074</v>
      </c>
    </row>
    <row r="275" spans="1:13" x14ac:dyDescent="0.35">
      <c r="A275" t="s">
        <v>86</v>
      </c>
      <c r="B275" t="s">
        <v>40</v>
      </c>
      <c r="C275" t="s">
        <v>27</v>
      </c>
      <c r="D275" t="s">
        <v>34</v>
      </c>
      <c r="E275" t="s">
        <v>23</v>
      </c>
      <c r="F275" s="4">
        <v>1738</v>
      </c>
      <c r="G275" s="9" t="s">
        <v>590</v>
      </c>
      <c r="H275" s="1">
        <v>45257</v>
      </c>
      <c r="I275" t="s">
        <v>36</v>
      </c>
      <c r="J275" t="s">
        <v>591</v>
      </c>
      <c r="K275" t="s">
        <v>38</v>
      </c>
      <c r="L275" s="3">
        <f t="shared" si="8"/>
        <v>17663</v>
      </c>
      <c r="M275" s="3">
        <f t="shared" si="9"/>
        <v>10.162830840046031</v>
      </c>
    </row>
    <row r="276" spans="1:13" x14ac:dyDescent="0.35">
      <c r="A276" t="s">
        <v>11</v>
      </c>
      <c r="B276" t="s">
        <v>40</v>
      </c>
      <c r="C276" t="s">
        <v>33</v>
      </c>
      <c r="D276" t="s">
        <v>14</v>
      </c>
      <c r="E276">
        <v>30</v>
      </c>
      <c r="F276" s="4">
        <v>167</v>
      </c>
      <c r="G276" s="9" t="s">
        <v>592</v>
      </c>
      <c r="H276" s="1">
        <v>45153</v>
      </c>
      <c r="I276" t="s">
        <v>48</v>
      </c>
      <c r="J276" t="s">
        <v>593</v>
      </c>
      <c r="K276" t="s">
        <v>19</v>
      </c>
      <c r="L276" s="3">
        <f t="shared" si="8"/>
        <v>4175</v>
      </c>
      <c r="M276" s="3">
        <f t="shared" si="9"/>
        <v>25</v>
      </c>
    </row>
    <row r="277" spans="1:13" x14ac:dyDescent="0.35">
      <c r="A277" t="s">
        <v>53</v>
      </c>
      <c r="B277" t="s">
        <v>20</v>
      </c>
      <c r="C277" t="s">
        <v>77</v>
      </c>
      <c r="D277" t="s">
        <v>22</v>
      </c>
      <c r="E277">
        <v>30</v>
      </c>
      <c r="F277" s="4">
        <v>1696</v>
      </c>
      <c r="G277" s="9" t="s">
        <v>594</v>
      </c>
      <c r="H277" s="1">
        <v>45323</v>
      </c>
      <c r="I277" t="s">
        <v>17</v>
      </c>
      <c r="J277" t="s">
        <v>595</v>
      </c>
      <c r="K277" t="s">
        <v>38</v>
      </c>
      <c r="L277" s="3">
        <f t="shared" si="8"/>
        <v>26976</v>
      </c>
      <c r="M277" s="3">
        <f t="shared" si="9"/>
        <v>15.90566037735849</v>
      </c>
    </row>
    <row r="278" spans="1:13" x14ac:dyDescent="0.35">
      <c r="A278" t="s">
        <v>11</v>
      </c>
      <c r="B278" t="s">
        <v>20</v>
      </c>
      <c r="C278" t="s">
        <v>21</v>
      </c>
      <c r="D278" t="s">
        <v>34</v>
      </c>
      <c r="E278" t="s">
        <v>43</v>
      </c>
      <c r="F278" s="4">
        <v>1216</v>
      </c>
      <c r="G278" s="9" t="s">
        <v>596</v>
      </c>
      <c r="H278" s="1">
        <v>45221</v>
      </c>
      <c r="I278" t="s">
        <v>17</v>
      </c>
      <c r="J278" t="s">
        <v>597</v>
      </c>
      <c r="K278" t="s">
        <v>32</v>
      </c>
      <c r="L278" s="3">
        <f t="shared" si="8"/>
        <v>32615</v>
      </c>
      <c r="M278" s="3">
        <f t="shared" si="9"/>
        <v>26.821546052631579</v>
      </c>
    </row>
    <row r="279" spans="1:13" x14ac:dyDescent="0.35">
      <c r="A279" t="s">
        <v>39</v>
      </c>
      <c r="B279" t="s">
        <v>40</v>
      </c>
      <c r="C279" t="s">
        <v>27</v>
      </c>
      <c r="D279" t="s">
        <v>34</v>
      </c>
      <c r="E279" t="s">
        <v>43</v>
      </c>
      <c r="F279" s="4">
        <v>599</v>
      </c>
      <c r="G279" s="9" t="s">
        <v>598</v>
      </c>
      <c r="H279" s="1">
        <v>45264</v>
      </c>
      <c r="I279" t="s">
        <v>48</v>
      </c>
      <c r="J279" t="s">
        <v>599</v>
      </c>
      <c r="K279" t="s">
        <v>52</v>
      </c>
      <c r="L279" s="3">
        <f t="shared" si="8"/>
        <v>1411</v>
      </c>
      <c r="M279" s="3">
        <f t="shared" si="9"/>
        <v>2.35559265442404</v>
      </c>
    </row>
    <row r="280" spans="1:13" x14ac:dyDescent="0.35">
      <c r="A280" t="s">
        <v>86</v>
      </c>
      <c r="B280" t="s">
        <v>12</v>
      </c>
      <c r="C280" t="s">
        <v>21</v>
      </c>
      <c r="D280" t="s">
        <v>89</v>
      </c>
      <c r="E280">
        <v>30</v>
      </c>
      <c r="F280" s="4">
        <v>609</v>
      </c>
      <c r="G280" s="9" t="s">
        <v>600</v>
      </c>
      <c r="H280" s="1">
        <v>45328</v>
      </c>
      <c r="I280" t="s">
        <v>48</v>
      </c>
      <c r="J280" t="s">
        <v>601</v>
      </c>
      <c r="K280" t="s">
        <v>38</v>
      </c>
      <c r="L280" s="3">
        <f t="shared" si="8"/>
        <v>25953</v>
      </c>
      <c r="M280" s="3">
        <f t="shared" si="9"/>
        <v>42.615763546798028</v>
      </c>
    </row>
    <row r="281" spans="1:13" x14ac:dyDescent="0.35">
      <c r="A281" t="s">
        <v>11</v>
      </c>
      <c r="B281" t="s">
        <v>40</v>
      </c>
      <c r="C281" t="s">
        <v>77</v>
      </c>
      <c r="D281" t="s">
        <v>28</v>
      </c>
      <c r="E281" t="s">
        <v>43</v>
      </c>
      <c r="F281" s="4">
        <v>1199</v>
      </c>
      <c r="G281" s="9" t="s">
        <v>602</v>
      </c>
      <c r="H281" s="1">
        <v>45447</v>
      </c>
      <c r="I281" t="s">
        <v>17</v>
      </c>
      <c r="J281" t="s">
        <v>603</v>
      </c>
      <c r="K281" t="s">
        <v>19</v>
      </c>
      <c r="L281" s="3">
        <f t="shared" si="8"/>
        <v>4779</v>
      </c>
      <c r="M281" s="3">
        <f t="shared" si="9"/>
        <v>3.9858215179316097</v>
      </c>
    </row>
    <row r="282" spans="1:13" x14ac:dyDescent="0.35">
      <c r="A282" t="s">
        <v>26</v>
      </c>
      <c r="B282" t="s">
        <v>62</v>
      </c>
      <c r="C282" t="s">
        <v>77</v>
      </c>
      <c r="D282" t="s">
        <v>28</v>
      </c>
      <c r="E282" t="s">
        <v>15</v>
      </c>
      <c r="F282" s="4">
        <v>1238</v>
      </c>
      <c r="G282" s="9" t="s">
        <v>604</v>
      </c>
      <c r="H282" s="1">
        <v>45333</v>
      </c>
      <c r="I282" t="s">
        <v>17</v>
      </c>
      <c r="J282" t="s">
        <v>605</v>
      </c>
      <c r="K282" t="s">
        <v>32</v>
      </c>
      <c r="L282" s="3">
        <f t="shared" si="8"/>
        <v>30313</v>
      </c>
      <c r="M282" s="3">
        <f t="shared" si="9"/>
        <v>24.485460420032311</v>
      </c>
    </row>
    <row r="283" spans="1:13" x14ac:dyDescent="0.35">
      <c r="A283" t="s">
        <v>11</v>
      </c>
      <c r="B283" t="s">
        <v>20</v>
      </c>
      <c r="C283" t="s">
        <v>21</v>
      </c>
      <c r="D283" t="s">
        <v>34</v>
      </c>
      <c r="E283">
        <v>60</v>
      </c>
      <c r="F283" s="4">
        <v>354</v>
      </c>
      <c r="G283" s="9" t="s">
        <v>606</v>
      </c>
      <c r="H283" s="1">
        <v>45468</v>
      </c>
      <c r="I283" t="s">
        <v>17</v>
      </c>
      <c r="J283" t="s">
        <v>607</v>
      </c>
      <c r="K283" t="s">
        <v>38</v>
      </c>
      <c r="L283" s="3">
        <f t="shared" si="8"/>
        <v>11544</v>
      </c>
      <c r="M283" s="3">
        <f t="shared" si="9"/>
        <v>32.610169491525426</v>
      </c>
    </row>
    <row r="284" spans="1:13" x14ac:dyDescent="0.35">
      <c r="A284" t="s">
        <v>86</v>
      </c>
      <c r="B284" t="s">
        <v>40</v>
      </c>
      <c r="C284" t="s">
        <v>21</v>
      </c>
      <c r="D284" t="s">
        <v>28</v>
      </c>
      <c r="E284" t="s">
        <v>43</v>
      </c>
      <c r="F284" s="4">
        <v>489</v>
      </c>
      <c r="G284" s="9" t="s">
        <v>608</v>
      </c>
      <c r="H284" s="1">
        <v>45296</v>
      </c>
      <c r="I284" t="s">
        <v>17</v>
      </c>
      <c r="J284" t="s">
        <v>609</v>
      </c>
      <c r="K284" t="s">
        <v>52</v>
      </c>
      <c r="L284" s="3">
        <f t="shared" si="8"/>
        <v>48883</v>
      </c>
      <c r="M284" s="3">
        <f t="shared" si="9"/>
        <v>99.965235173824126</v>
      </c>
    </row>
    <row r="285" spans="1:13" x14ac:dyDescent="0.35">
      <c r="A285" t="s">
        <v>53</v>
      </c>
      <c r="B285" t="s">
        <v>62</v>
      </c>
      <c r="C285" t="s">
        <v>13</v>
      </c>
      <c r="D285" t="s">
        <v>22</v>
      </c>
      <c r="E285" t="s">
        <v>43</v>
      </c>
      <c r="F285" s="4">
        <v>1042</v>
      </c>
      <c r="G285" s="9" t="s">
        <v>610</v>
      </c>
      <c r="H285" s="1">
        <v>45486</v>
      </c>
      <c r="I285" t="s">
        <v>48</v>
      </c>
      <c r="J285" t="s">
        <v>611</v>
      </c>
      <c r="K285" t="s">
        <v>52</v>
      </c>
      <c r="L285" s="3">
        <f t="shared" si="8"/>
        <v>34649</v>
      </c>
      <c r="M285" s="3">
        <f t="shared" si="9"/>
        <v>33.252399232245679</v>
      </c>
    </row>
    <row r="286" spans="1:13" x14ac:dyDescent="0.35">
      <c r="A286" t="s">
        <v>11</v>
      </c>
      <c r="B286" t="s">
        <v>62</v>
      </c>
      <c r="C286" t="s">
        <v>27</v>
      </c>
      <c r="D286" t="s">
        <v>14</v>
      </c>
      <c r="E286">
        <v>60</v>
      </c>
      <c r="F286" s="4">
        <v>392</v>
      </c>
      <c r="G286" s="9" t="s">
        <v>612</v>
      </c>
      <c r="H286" s="1">
        <v>45453</v>
      </c>
      <c r="I286" t="s">
        <v>45</v>
      </c>
      <c r="J286" t="s">
        <v>613</v>
      </c>
      <c r="K286" t="s">
        <v>38</v>
      </c>
      <c r="L286" s="3">
        <f t="shared" si="8"/>
        <v>33170</v>
      </c>
      <c r="M286" s="3">
        <f t="shared" si="9"/>
        <v>84.617346938775512</v>
      </c>
    </row>
    <row r="287" spans="1:13" x14ac:dyDescent="0.35">
      <c r="A287" t="s">
        <v>86</v>
      </c>
      <c r="B287" t="s">
        <v>59</v>
      </c>
      <c r="C287" t="s">
        <v>33</v>
      </c>
      <c r="D287" t="s">
        <v>22</v>
      </c>
      <c r="E287" t="s">
        <v>23</v>
      </c>
      <c r="F287" s="4">
        <v>786</v>
      </c>
      <c r="G287" s="9" t="s">
        <v>614</v>
      </c>
      <c r="H287" s="1">
        <v>45383</v>
      </c>
      <c r="I287" t="s">
        <v>36</v>
      </c>
      <c r="J287" t="s">
        <v>615</v>
      </c>
      <c r="K287" t="s">
        <v>52</v>
      </c>
      <c r="L287" s="3">
        <f t="shared" si="8"/>
        <v>22000</v>
      </c>
      <c r="M287" s="3">
        <f t="shared" si="9"/>
        <v>27.989821882951652</v>
      </c>
    </row>
    <row r="288" spans="1:13" x14ac:dyDescent="0.35">
      <c r="A288" t="s">
        <v>53</v>
      </c>
      <c r="B288" t="s">
        <v>40</v>
      </c>
      <c r="C288" t="s">
        <v>13</v>
      </c>
      <c r="D288" t="s">
        <v>28</v>
      </c>
      <c r="E288" t="s">
        <v>23</v>
      </c>
      <c r="F288" s="4">
        <v>1347</v>
      </c>
      <c r="G288" s="9" t="s">
        <v>616</v>
      </c>
      <c r="H288" s="1">
        <v>45492</v>
      </c>
      <c r="I288" t="s">
        <v>17</v>
      </c>
      <c r="J288" t="s">
        <v>617</v>
      </c>
      <c r="K288" t="s">
        <v>32</v>
      </c>
      <c r="L288" s="3">
        <f t="shared" si="8"/>
        <v>29744</v>
      </c>
      <c r="M288" s="3">
        <f t="shared" si="9"/>
        <v>22.081662954714179</v>
      </c>
    </row>
    <row r="289" spans="1:13" x14ac:dyDescent="0.35">
      <c r="A289" t="s">
        <v>11</v>
      </c>
      <c r="B289" t="s">
        <v>59</v>
      </c>
      <c r="C289" t="s">
        <v>77</v>
      </c>
      <c r="D289" t="s">
        <v>28</v>
      </c>
      <c r="E289">
        <v>60</v>
      </c>
      <c r="F289" s="4">
        <v>499</v>
      </c>
      <c r="G289" s="9" t="s">
        <v>618</v>
      </c>
      <c r="H289" s="1">
        <v>45392</v>
      </c>
      <c r="I289" t="s">
        <v>48</v>
      </c>
      <c r="J289" t="s">
        <v>619</v>
      </c>
      <c r="K289" t="s">
        <v>32</v>
      </c>
      <c r="L289" s="3">
        <f t="shared" si="8"/>
        <v>14526</v>
      </c>
      <c r="M289" s="3">
        <f t="shared" si="9"/>
        <v>29.110220440881765</v>
      </c>
    </row>
    <row r="290" spans="1:13" x14ac:dyDescent="0.35">
      <c r="A290" t="s">
        <v>26</v>
      </c>
      <c r="B290" t="s">
        <v>59</v>
      </c>
      <c r="C290" t="s">
        <v>27</v>
      </c>
      <c r="D290" t="s">
        <v>28</v>
      </c>
      <c r="E290">
        <v>60</v>
      </c>
      <c r="F290" s="4">
        <v>489</v>
      </c>
      <c r="G290" s="9" t="s">
        <v>620</v>
      </c>
      <c r="H290" s="1">
        <v>45282</v>
      </c>
      <c r="I290" t="s">
        <v>17</v>
      </c>
      <c r="J290" t="s">
        <v>621</v>
      </c>
      <c r="K290" t="s">
        <v>52</v>
      </c>
      <c r="L290" s="3">
        <f t="shared" si="8"/>
        <v>25559</v>
      </c>
      <c r="M290" s="3">
        <f t="shared" si="9"/>
        <v>52.267893660531698</v>
      </c>
    </row>
    <row r="291" spans="1:13" x14ac:dyDescent="0.35">
      <c r="A291" t="s">
        <v>26</v>
      </c>
      <c r="B291" t="s">
        <v>12</v>
      </c>
      <c r="C291" t="s">
        <v>27</v>
      </c>
      <c r="D291" t="s">
        <v>89</v>
      </c>
      <c r="E291">
        <v>30</v>
      </c>
      <c r="F291" s="4">
        <v>963</v>
      </c>
      <c r="G291" s="9" t="s">
        <v>622</v>
      </c>
      <c r="H291" s="1">
        <v>45203</v>
      </c>
      <c r="I291" t="s">
        <v>45</v>
      </c>
      <c r="J291" t="s">
        <v>623</v>
      </c>
      <c r="K291" t="s">
        <v>32</v>
      </c>
      <c r="L291" s="3">
        <f t="shared" si="8"/>
        <v>24965</v>
      </c>
      <c r="M291" s="3">
        <f t="shared" si="9"/>
        <v>25.924195223260643</v>
      </c>
    </row>
    <row r="292" spans="1:13" x14ac:dyDescent="0.35">
      <c r="A292" t="s">
        <v>53</v>
      </c>
      <c r="B292" t="s">
        <v>59</v>
      </c>
      <c r="C292" t="s">
        <v>21</v>
      </c>
      <c r="D292" t="s">
        <v>89</v>
      </c>
      <c r="E292" t="s">
        <v>23</v>
      </c>
      <c r="F292" s="4">
        <v>1650</v>
      </c>
      <c r="G292" s="9" t="s">
        <v>624</v>
      </c>
      <c r="H292" s="1">
        <v>45469</v>
      </c>
      <c r="I292" t="s">
        <v>45</v>
      </c>
      <c r="J292" t="s">
        <v>625</v>
      </c>
      <c r="K292" t="s">
        <v>32</v>
      </c>
      <c r="L292" s="3">
        <f t="shared" si="8"/>
        <v>36514</v>
      </c>
      <c r="M292" s="3">
        <f t="shared" si="9"/>
        <v>22.129696969696969</v>
      </c>
    </row>
    <row r="293" spans="1:13" x14ac:dyDescent="0.35">
      <c r="A293" t="s">
        <v>11</v>
      </c>
      <c r="B293" t="s">
        <v>62</v>
      </c>
      <c r="C293" t="s">
        <v>27</v>
      </c>
      <c r="D293" t="s">
        <v>22</v>
      </c>
      <c r="E293" t="s">
        <v>23</v>
      </c>
      <c r="F293" s="4">
        <v>1826</v>
      </c>
      <c r="G293" s="9" t="s">
        <v>626</v>
      </c>
      <c r="H293" s="1">
        <v>45483</v>
      </c>
      <c r="I293" t="s">
        <v>36</v>
      </c>
      <c r="J293" t="s">
        <v>627</v>
      </c>
      <c r="K293" t="s">
        <v>56</v>
      </c>
      <c r="L293" s="3">
        <f t="shared" si="8"/>
        <v>46602</v>
      </c>
      <c r="M293" s="3">
        <f t="shared" si="9"/>
        <v>25.521358159912378</v>
      </c>
    </row>
    <row r="294" spans="1:13" x14ac:dyDescent="0.35">
      <c r="A294" t="s">
        <v>86</v>
      </c>
      <c r="B294" t="s">
        <v>40</v>
      </c>
      <c r="C294" t="s">
        <v>21</v>
      </c>
      <c r="D294" t="s">
        <v>22</v>
      </c>
      <c r="E294">
        <v>60</v>
      </c>
      <c r="F294" s="4">
        <v>608</v>
      </c>
      <c r="G294" s="9" t="s">
        <v>628</v>
      </c>
      <c r="H294" s="1">
        <v>45417</v>
      </c>
      <c r="I294" t="s">
        <v>48</v>
      </c>
      <c r="J294" t="s">
        <v>629</v>
      </c>
      <c r="K294" t="s">
        <v>19</v>
      </c>
      <c r="L294" s="3">
        <f t="shared" si="8"/>
        <v>28326</v>
      </c>
      <c r="M294" s="3">
        <f t="shared" si="9"/>
        <v>46.588815789473685</v>
      </c>
    </row>
    <row r="295" spans="1:13" x14ac:dyDescent="0.35">
      <c r="A295" t="s">
        <v>39</v>
      </c>
      <c r="B295" t="s">
        <v>59</v>
      </c>
      <c r="C295" t="s">
        <v>13</v>
      </c>
      <c r="D295" t="s">
        <v>22</v>
      </c>
      <c r="E295" t="s">
        <v>23</v>
      </c>
      <c r="F295" s="4">
        <v>297</v>
      </c>
      <c r="G295" s="9" t="s">
        <v>630</v>
      </c>
      <c r="H295" s="1">
        <v>45462</v>
      </c>
      <c r="I295" t="s">
        <v>45</v>
      </c>
      <c r="J295" t="s">
        <v>631</v>
      </c>
      <c r="K295" t="s">
        <v>38</v>
      </c>
      <c r="L295" s="3">
        <f t="shared" si="8"/>
        <v>20215</v>
      </c>
      <c r="M295" s="3">
        <f t="shared" si="9"/>
        <v>68.063973063973066</v>
      </c>
    </row>
    <row r="296" spans="1:13" x14ac:dyDescent="0.35">
      <c r="A296" t="s">
        <v>39</v>
      </c>
      <c r="B296" t="s">
        <v>59</v>
      </c>
      <c r="C296" t="s">
        <v>21</v>
      </c>
      <c r="D296" t="s">
        <v>89</v>
      </c>
      <c r="E296">
        <v>60</v>
      </c>
      <c r="F296" s="4">
        <v>1095</v>
      </c>
      <c r="G296" s="9" t="s">
        <v>632</v>
      </c>
      <c r="H296" s="1">
        <v>45182</v>
      </c>
      <c r="I296" t="s">
        <v>17</v>
      </c>
      <c r="J296" t="s">
        <v>633</v>
      </c>
      <c r="K296" t="s">
        <v>19</v>
      </c>
      <c r="L296" s="3">
        <f t="shared" si="8"/>
        <v>23543</v>
      </c>
      <c r="M296" s="3">
        <f t="shared" si="9"/>
        <v>21.500456621004567</v>
      </c>
    </row>
    <row r="297" spans="1:13" x14ac:dyDescent="0.35">
      <c r="A297" t="s">
        <v>86</v>
      </c>
      <c r="B297" t="s">
        <v>62</v>
      </c>
      <c r="C297" t="s">
        <v>13</v>
      </c>
      <c r="D297" t="s">
        <v>34</v>
      </c>
      <c r="E297">
        <v>30</v>
      </c>
      <c r="F297" s="4">
        <v>1585</v>
      </c>
      <c r="G297" s="9" t="s">
        <v>634</v>
      </c>
      <c r="H297" s="1">
        <v>45376</v>
      </c>
      <c r="I297" t="s">
        <v>45</v>
      </c>
      <c r="J297" t="s">
        <v>635</v>
      </c>
      <c r="K297" t="s">
        <v>32</v>
      </c>
      <c r="L297" s="3">
        <f t="shared" si="8"/>
        <v>34365</v>
      </c>
      <c r="M297" s="3">
        <f t="shared" si="9"/>
        <v>21.681388012618296</v>
      </c>
    </row>
    <row r="298" spans="1:13" x14ac:dyDescent="0.35">
      <c r="A298" t="s">
        <v>26</v>
      </c>
      <c r="B298" t="s">
        <v>12</v>
      </c>
      <c r="C298" t="s">
        <v>33</v>
      </c>
      <c r="D298" t="s">
        <v>22</v>
      </c>
      <c r="E298" t="s">
        <v>15</v>
      </c>
      <c r="F298" s="4">
        <v>749</v>
      </c>
      <c r="G298" s="9" t="s">
        <v>636</v>
      </c>
      <c r="H298" s="1">
        <v>45164</v>
      </c>
      <c r="I298" t="s">
        <v>45</v>
      </c>
      <c r="J298" t="s">
        <v>637</v>
      </c>
      <c r="K298" t="s">
        <v>19</v>
      </c>
      <c r="L298" s="3">
        <f t="shared" si="8"/>
        <v>13462</v>
      </c>
      <c r="M298" s="3">
        <f t="shared" si="9"/>
        <v>17.973297730307078</v>
      </c>
    </row>
    <row r="299" spans="1:13" x14ac:dyDescent="0.35">
      <c r="A299" t="s">
        <v>11</v>
      </c>
      <c r="B299" t="s">
        <v>20</v>
      </c>
      <c r="C299" t="s">
        <v>27</v>
      </c>
      <c r="D299" t="s">
        <v>34</v>
      </c>
      <c r="E299" t="s">
        <v>15</v>
      </c>
      <c r="F299" s="4">
        <v>1666</v>
      </c>
      <c r="G299" s="9" t="s">
        <v>638</v>
      </c>
      <c r="H299" s="1">
        <v>45199</v>
      </c>
      <c r="I299" t="s">
        <v>48</v>
      </c>
      <c r="J299" t="s">
        <v>639</v>
      </c>
      <c r="K299" t="s">
        <v>19</v>
      </c>
      <c r="L299" s="3">
        <f t="shared" si="8"/>
        <v>32893</v>
      </c>
      <c r="M299" s="3">
        <f t="shared" si="9"/>
        <v>19.743697478991596</v>
      </c>
    </row>
    <row r="300" spans="1:13" x14ac:dyDescent="0.35">
      <c r="A300" t="s">
        <v>53</v>
      </c>
      <c r="B300" t="s">
        <v>12</v>
      </c>
      <c r="C300" t="s">
        <v>21</v>
      </c>
      <c r="D300" t="s">
        <v>28</v>
      </c>
      <c r="E300">
        <v>60</v>
      </c>
      <c r="F300" s="4">
        <v>371</v>
      </c>
      <c r="G300" s="9" t="s">
        <v>640</v>
      </c>
      <c r="H300" s="1">
        <v>45352</v>
      </c>
      <c r="I300" t="s">
        <v>45</v>
      </c>
      <c r="J300" t="s">
        <v>641</v>
      </c>
      <c r="K300" t="s">
        <v>52</v>
      </c>
      <c r="L300" s="3">
        <f t="shared" si="8"/>
        <v>25596</v>
      </c>
      <c r="M300" s="3">
        <f t="shared" si="9"/>
        <v>68.991913746630729</v>
      </c>
    </row>
    <row r="301" spans="1:13" x14ac:dyDescent="0.35">
      <c r="A301" t="s">
        <v>86</v>
      </c>
      <c r="B301" t="s">
        <v>59</v>
      </c>
      <c r="C301" t="s">
        <v>77</v>
      </c>
      <c r="D301" t="s">
        <v>89</v>
      </c>
      <c r="E301" t="s">
        <v>23</v>
      </c>
      <c r="F301" s="4">
        <v>1663</v>
      </c>
      <c r="G301" s="9" t="s">
        <v>642</v>
      </c>
      <c r="H301" s="1">
        <v>45269</v>
      </c>
      <c r="I301" t="s">
        <v>17</v>
      </c>
      <c r="J301" t="s">
        <v>643</v>
      </c>
      <c r="K301" t="s">
        <v>32</v>
      </c>
      <c r="L301" s="3">
        <f t="shared" si="8"/>
        <v>20214</v>
      </c>
      <c r="M301" s="3">
        <f t="shared" si="9"/>
        <v>12.155141310883945</v>
      </c>
    </row>
    <row r="302" spans="1:13" x14ac:dyDescent="0.35">
      <c r="A302" t="s">
        <v>26</v>
      </c>
      <c r="B302" t="s">
        <v>62</v>
      </c>
      <c r="C302" t="s">
        <v>13</v>
      </c>
      <c r="D302" t="s">
        <v>22</v>
      </c>
      <c r="E302" t="s">
        <v>15</v>
      </c>
      <c r="F302" s="4">
        <v>698</v>
      </c>
      <c r="G302" s="9" t="s">
        <v>644</v>
      </c>
      <c r="H302" s="1">
        <v>45141</v>
      </c>
      <c r="I302" t="s">
        <v>48</v>
      </c>
      <c r="J302" t="s">
        <v>645</v>
      </c>
      <c r="K302" t="s">
        <v>32</v>
      </c>
      <c r="L302" s="3">
        <f t="shared" si="8"/>
        <v>1522</v>
      </c>
      <c r="M302" s="3">
        <f t="shared" si="9"/>
        <v>2.1805157593123208</v>
      </c>
    </row>
    <row r="303" spans="1:13" x14ac:dyDescent="0.35">
      <c r="A303" t="s">
        <v>11</v>
      </c>
      <c r="B303" t="s">
        <v>59</v>
      </c>
      <c r="C303" t="s">
        <v>13</v>
      </c>
      <c r="D303" t="s">
        <v>22</v>
      </c>
      <c r="E303" t="s">
        <v>15</v>
      </c>
      <c r="F303" s="4">
        <v>1595</v>
      </c>
      <c r="G303" s="9" t="s">
        <v>646</v>
      </c>
      <c r="H303" s="1">
        <v>45486</v>
      </c>
      <c r="I303" t="s">
        <v>36</v>
      </c>
      <c r="J303" t="s">
        <v>647</v>
      </c>
      <c r="K303" t="s">
        <v>52</v>
      </c>
      <c r="L303" s="3">
        <f t="shared" si="8"/>
        <v>16585</v>
      </c>
      <c r="M303" s="3">
        <f t="shared" si="9"/>
        <v>10.398119122257054</v>
      </c>
    </row>
    <row r="304" spans="1:13" x14ac:dyDescent="0.35">
      <c r="A304" t="s">
        <v>26</v>
      </c>
      <c r="B304" t="s">
        <v>59</v>
      </c>
      <c r="C304" t="s">
        <v>33</v>
      </c>
      <c r="D304" t="s">
        <v>14</v>
      </c>
      <c r="E304">
        <v>60</v>
      </c>
      <c r="F304" s="4">
        <v>1474</v>
      </c>
      <c r="G304" s="9" t="s">
        <v>648</v>
      </c>
      <c r="H304" s="1">
        <v>45300</v>
      </c>
      <c r="I304" t="s">
        <v>17</v>
      </c>
      <c r="J304" t="s">
        <v>649</v>
      </c>
      <c r="K304" t="s">
        <v>19</v>
      </c>
      <c r="L304" s="3">
        <f t="shared" si="8"/>
        <v>32199</v>
      </c>
      <c r="M304" s="3">
        <f t="shared" si="9"/>
        <v>21.844640434192673</v>
      </c>
    </row>
    <row r="305" spans="1:13" x14ac:dyDescent="0.35">
      <c r="A305" t="s">
        <v>11</v>
      </c>
      <c r="B305" t="s">
        <v>40</v>
      </c>
      <c r="C305" t="s">
        <v>21</v>
      </c>
      <c r="D305" t="s">
        <v>89</v>
      </c>
      <c r="E305" t="s">
        <v>43</v>
      </c>
      <c r="F305" s="4">
        <v>1611</v>
      </c>
      <c r="G305" s="9" t="s">
        <v>650</v>
      </c>
      <c r="H305" s="1">
        <v>45447</v>
      </c>
      <c r="I305" t="s">
        <v>48</v>
      </c>
      <c r="J305" t="s">
        <v>651</v>
      </c>
      <c r="K305" t="s">
        <v>38</v>
      </c>
      <c r="L305" s="3">
        <f t="shared" si="8"/>
        <v>37594</v>
      </c>
      <c r="M305" s="3">
        <f t="shared" si="9"/>
        <v>23.335816263190566</v>
      </c>
    </row>
    <row r="306" spans="1:13" x14ac:dyDescent="0.35">
      <c r="A306" t="s">
        <v>26</v>
      </c>
      <c r="B306" t="s">
        <v>40</v>
      </c>
      <c r="C306" t="s">
        <v>33</v>
      </c>
      <c r="D306" t="s">
        <v>34</v>
      </c>
      <c r="E306" t="s">
        <v>43</v>
      </c>
      <c r="F306" s="4">
        <v>1876</v>
      </c>
      <c r="G306" s="9" t="s">
        <v>652</v>
      </c>
      <c r="H306" s="1">
        <v>45166</v>
      </c>
      <c r="I306" t="s">
        <v>17</v>
      </c>
      <c r="J306" t="s">
        <v>653</v>
      </c>
      <c r="K306" t="s">
        <v>52</v>
      </c>
      <c r="L306" s="3">
        <f t="shared" si="8"/>
        <v>26559</v>
      </c>
      <c r="M306" s="3">
        <f t="shared" si="9"/>
        <v>14.15724946695096</v>
      </c>
    </row>
    <row r="307" spans="1:13" x14ac:dyDescent="0.35">
      <c r="A307" t="s">
        <v>39</v>
      </c>
      <c r="B307" t="s">
        <v>62</v>
      </c>
      <c r="C307" t="s">
        <v>21</v>
      </c>
      <c r="D307" t="s">
        <v>22</v>
      </c>
      <c r="E307">
        <v>60</v>
      </c>
      <c r="F307" s="4">
        <v>939</v>
      </c>
      <c r="G307" s="9" t="s">
        <v>654</v>
      </c>
      <c r="H307" s="1">
        <v>45404</v>
      </c>
      <c r="I307" t="s">
        <v>36</v>
      </c>
      <c r="J307" t="s">
        <v>655</v>
      </c>
      <c r="K307" t="s">
        <v>52</v>
      </c>
      <c r="L307" s="3">
        <f t="shared" si="8"/>
        <v>22379</v>
      </c>
      <c r="M307" s="3">
        <f t="shared" si="9"/>
        <v>23.83280085197018</v>
      </c>
    </row>
    <row r="308" spans="1:13" x14ac:dyDescent="0.35">
      <c r="A308" t="s">
        <v>53</v>
      </c>
      <c r="B308" t="s">
        <v>40</v>
      </c>
      <c r="C308" t="s">
        <v>21</v>
      </c>
      <c r="D308" t="s">
        <v>28</v>
      </c>
      <c r="E308">
        <v>60</v>
      </c>
      <c r="F308" s="4">
        <v>1075</v>
      </c>
      <c r="G308" s="9" t="s">
        <v>656</v>
      </c>
      <c r="H308" s="1">
        <v>45423</v>
      </c>
      <c r="I308" t="s">
        <v>45</v>
      </c>
      <c r="J308" t="s">
        <v>657</v>
      </c>
      <c r="K308" t="s">
        <v>32</v>
      </c>
      <c r="L308" s="3">
        <f t="shared" si="8"/>
        <v>41442</v>
      </c>
      <c r="M308" s="3">
        <f t="shared" si="9"/>
        <v>38.550697674418608</v>
      </c>
    </row>
    <row r="309" spans="1:13" x14ac:dyDescent="0.35">
      <c r="A309" t="s">
        <v>11</v>
      </c>
      <c r="B309" t="s">
        <v>59</v>
      </c>
      <c r="C309" t="s">
        <v>77</v>
      </c>
      <c r="D309" t="s">
        <v>34</v>
      </c>
      <c r="E309">
        <v>30</v>
      </c>
      <c r="F309" s="4">
        <v>868</v>
      </c>
      <c r="G309" s="9" t="s">
        <v>658</v>
      </c>
      <c r="H309" s="1">
        <v>45462</v>
      </c>
      <c r="I309" t="s">
        <v>45</v>
      </c>
      <c r="J309" t="s">
        <v>659</v>
      </c>
      <c r="K309" t="s">
        <v>52</v>
      </c>
      <c r="L309" s="3">
        <f t="shared" si="8"/>
        <v>41228</v>
      </c>
      <c r="M309" s="3">
        <f t="shared" si="9"/>
        <v>47.497695852534562</v>
      </c>
    </row>
    <row r="310" spans="1:13" x14ac:dyDescent="0.35">
      <c r="A310" t="s">
        <v>26</v>
      </c>
      <c r="B310" t="s">
        <v>20</v>
      </c>
      <c r="C310" t="s">
        <v>21</v>
      </c>
      <c r="D310" t="s">
        <v>28</v>
      </c>
      <c r="E310" t="s">
        <v>43</v>
      </c>
      <c r="F310" s="4">
        <v>1135</v>
      </c>
      <c r="G310" s="9" t="s">
        <v>660</v>
      </c>
      <c r="H310" s="1">
        <v>45377</v>
      </c>
      <c r="I310" t="s">
        <v>30</v>
      </c>
      <c r="J310" t="s">
        <v>661</v>
      </c>
      <c r="K310" t="s">
        <v>52</v>
      </c>
      <c r="L310" s="3">
        <f t="shared" si="8"/>
        <v>42632</v>
      </c>
      <c r="M310" s="3">
        <f t="shared" si="9"/>
        <v>37.561233480176213</v>
      </c>
    </row>
    <row r="311" spans="1:13" x14ac:dyDescent="0.35">
      <c r="A311" t="s">
        <v>26</v>
      </c>
      <c r="B311" t="s">
        <v>12</v>
      </c>
      <c r="C311" t="s">
        <v>27</v>
      </c>
      <c r="D311" t="s">
        <v>89</v>
      </c>
      <c r="E311">
        <v>30</v>
      </c>
      <c r="F311" s="4">
        <v>1780</v>
      </c>
      <c r="G311" s="9" t="s">
        <v>662</v>
      </c>
      <c r="H311" s="1">
        <v>45197</v>
      </c>
      <c r="I311" t="s">
        <v>36</v>
      </c>
      <c r="J311" t="s">
        <v>663</v>
      </c>
      <c r="K311" t="s">
        <v>56</v>
      </c>
      <c r="L311" s="3">
        <f t="shared" si="8"/>
        <v>28351</v>
      </c>
      <c r="M311" s="3">
        <f t="shared" si="9"/>
        <v>15.927528089887641</v>
      </c>
    </row>
    <row r="312" spans="1:13" x14ac:dyDescent="0.35">
      <c r="A312" t="s">
        <v>86</v>
      </c>
      <c r="B312" t="s">
        <v>40</v>
      </c>
      <c r="C312" t="s">
        <v>33</v>
      </c>
      <c r="D312" t="s">
        <v>14</v>
      </c>
      <c r="E312" t="s">
        <v>43</v>
      </c>
      <c r="F312" s="4">
        <v>833</v>
      </c>
      <c r="G312" s="9" t="s">
        <v>664</v>
      </c>
      <c r="H312" s="1">
        <v>45384</v>
      </c>
      <c r="I312" t="s">
        <v>36</v>
      </c>
      <c r="J312" t="s">
        <v>665</v>
      </c>
      <c r="K312" t="s">
        <v>19</v>
      </c>
      <c r="L312" s="3">
        <f t="shared" si="8"/>
        <v>42915</v>
      </c>
      <c r="M312" s="3">
        <f t="shared" si="9"/>
        <v>51.518607442977192</v>
      </c>
    </row>
    <row r="313" spans="1:13" x14ac:dyDescent="0.35">
      <c r="A313" t="s">
        <v>11</v>
      </c>
      <c r="B313" t="s">
        <v>62</v>
      </c>
      <c r="C313" t="s">
        <v>77</v>
      </c>
      <c r="D313" t="s">
        <v>89</v>
      </c>
      <c r="E313" t="s">
        <v>43</v>
      </c>
      <c r="F313" s="4">
        <v>1134</v>
      </c>
      <c r="G313" s="9" t="s">
        <v>666</v>
      </c>
      <c r="H313" s="1">
        <v>45377</v>
      </c>
      <c r="I313" t="s">
        <v>36</v>
      </c>
      <c r="J313" t="s">
        <v>667</v>
      </c>
      <c r="K313" t="s">
        <v>32</v>
      </c>
      <c r="L313" s="3">
        <f t="shared" si="8"/>
        <v>26634</v>
      </c>
      <c r="M313" s="3">
        <f t="shared" si="9"/>
        <v>23.486772486772487</v>
      </c>
    </row>
    <row r="314" spans="1:13" x14ac:dyDescent="0.35">
      <c r="A314" t="s">
        <v>53</v>
      </c>
      <c r="B314" t="s">
        <v>59</v>
      </c>
      <c r="C314" t="s">
        <v>21</v>
      </c>
      <c r="D314" t="s">
        <v>28</v>
      </c>
      <c r="E314" t="s">
        <v>23</v>
      </c>
      <c r="F314" s="4">
        <v>1706</v>
      </c>
      <c r="G314" s="9" t="s">
        <v>668</v>
      </c>
      <c r="H314" s="1">
        <v>45141</v>
      </c>
      <c r="I314" t="s">
        <v>45</v>
      </c>
      <c r="J314" t="s">
        <v>669</v>
      </c>
      <c r="K314" t="s">
        <v>32</v>
      </c>
      <c r="L314" s="3">
        <f t="shared" si="8"/>
        <v>21681</v>
      </c>
      <c r="M314" s="3">
        <f t="shared" si="9"/>
        <v>12.708675263774913</v>
      </c>
    </row>
    <row r="315" spans="1:13" x14ac:dyDescent="0.35">
      <c r="A315" t="s">
        <v>39</v>
      </c>
      <c r="B315" t="s">
        <v>62</v>
      </c>
      <c r="C315" t="s">
        <v>21</v>
      </c>
      <c r="D315" t="s">
        <v>89</v>
      </c>
      <c r="E315" t="s">
        <v>43</v>
      </c>
      <c r="F315" s="4">
        <v>1395</v>
      </c>
      <c r="G315" s="9" t="s">
        <v>670</v>
      </c>
      <c r="H315" s="1">
        <v>45330</v>
      </c>
      <c r="I315" t="s">
        <v>45</v>
      </c>
      <c r="J315" t="s">
        <v>671</v>
      </c>
      <c r="K315" t="s">
        <v>56</v>
      </c>
      <c r="L315" s="3">
        <f t="shared" si="8"/>
        <v>22835</v>
      </c>
      <c r="M315" s="3">
        <f t="shared" si="9"/>
        <v>16.369175627240143</v>
      </c>
    </row>
    <row r="316" spans="1:13" x14ac:dyDescent="0.35">
      <c r="A316" t="s">
        <v>26</v>
      </c>
      <c r="B316" t="s">
        <v>20</v>
      </c>
      <c r="C316" t="s">
        <v>13</v>
      </c>
      <c r="D316" t="s">
        <v>34</v>
      </c>
      <c r="E316" t="s">
        <v>23</v>
      </c>
      <c r="F316" s="4">
        <v>1693</v>
      </c>
      <c r="G316" s="9" t="s">
        <v>672</v>
      </c>
      <c r="H316" s="1">
        <v>45469</v>
      </c>
      <c r="I316" t="s">
        <v>17</v>
      </c>
      <c r="J316" t="s">
        <v>673</v>
      </c>
      <c r="K316" t="s">
        <v>52</v>
      </c>
      <c r="L316" s="3">
        <f t="shared" si="8"/>
        <v>31240</v>
      </c>
      <c r="M316" s="3">
        <f t="shared" si="9"/>
        <v>18.452451269935025</v>
      </c>
    </row>
    <row r="317" spans="1:13" x14ac:dyDescent="0.35">
      <c r="A317" t="s">
        <v>26</v>
      </c>
      <c r="B317" t="s">
        <v>59</v>
      </c>
      <c r="C317" t="s">
        <v>77</v>
      </c>
      <c r="D317" t="s">
        <v>34</v>
      </c>
      <c r="E317">
        <v>30</v>
      </c>
      <c r="F317" s="4">
        <v>1549</v>
      </c>
      <c r="G317" s="9" t="s">
        <v>674</v>
      </c>
      <c r="H317" s="1">
        <v>45345</v>
      </c>
      <c r="I317" t="s">
        <v>45</v>
      </c>
      <c r="J317" t="s">
        <v>675</v>
      </c>
      <c r="K317" t="s">
        <v>38</v>
      </c>
      <c r="L317" s="3">
        <f t="shared" si="8"/>
        <v>9455</v>
      </c>
      <c r="M317" s="3">
        <f t="shared" si="9"/>
        <v>6.1039380245319563</v>
      </c>
    </row>
    <row r="318" spans="1:13" x14ac:dyDescent="0.35">
      <c r="A318" t="s">
        <v>26</v>
      </c>
      <c r="B318" t="s">
        <v>20</v>
      </c>
      <c r="C318" t="s">
        <v>21</v>
      </c>
      <c r="D318" t="s">
        <v>34</v>
      </c>
      <c r="E318" t="s">
        <v>43</v>
      </c>
      <c r="F318" s="4">
        <v>100</v>
      </c>
      <c r="G318" s="9" t="s">
        <v>676</v>
      </c>
      <c r="H318" s="1">
        <v>45228</v>
      </c>
      <c r="I318" t="s">
        <v>48</v>
      </c>
      <c r="J318" t="s">
        <v>677</v>
      </c>
      <c r="K318" t="s">
        <v>32</v>
      </c>
      <c r="L318" s="3">
        <f t="shared" si="8"/>
        <v>32910</v>
      </c>
      <c r="M318" s="3">
        <f t="shared" si="9"/>
        <v>329.1</v>
      </c>
    </row>
    <row r="319" spans="1:13" x14ac:dyDescent="0.35">
      <c r="A319" t="s">
        <v>11</v>
      </c>
      <c r="B319" t="s">
        <v>40</v>
      </c>
      <c r="C319" t="s">
        <v>21</v>
      </c>
      <c r="D319" t="s">
        <v>28</v>
      </c>
      <c r="E319" t="s">
        <v>15</v>
      </c>
      <c r="F319" s="4">
        <v>826</v>
      </c>
      <c r="G319" s="9" t="s">
        <v>678</v>
      </c>
      <c r="H319" s="1">
        <v>45240</v>
      </c>
      <c r="I319" t="s">
        <v>48</v>
      </c>
      <c r="J319" t="s">
        <v>679</v>
      </c>
      <c r="K319" t="s">
        <v>19</v>
      </c>
      <c r="L319" s="3">
        <f t="shared" si="8"/>
        <v>24350</v>
      </c>
      <c r="M319" s="3">
        <f t="shared" si="9"/>
        <v>29.479418886198548</v>
      </c>
    </row>
    <row r="320" spans="1:13" x14ac:dyDescent="0.35">
      <c r="A320" t="s">
        <v>39</v>
      </c>
      <c r="B320" t="s">
        <v>12</v>
      </c>
      <c r="C320" t="s">
        <v>21</v>
      </c>
      <c r="D320" t="s">
        <v>22</v>
      </c>
      <c r="E320" t="s">
        <v>15</v>
      </c>
      <c r="F320" s="4">
        <v>1308</v>
      </c>
      <c r="G320" s="9" t="s">
        <v>680</v>
      </c>
      <c r="H320" s="1">
        <v>45304</v>
      </c>
      <c r="I320" t="s">
        <v>36</v>
      </c>
      <c r="J320" t="s">
        <v>681</v>
      </c>
      <c r="K320" t="s">
        <v>56</v>
      </c>
      <c r="L320" s="3">
        <f t="shared" si="8"/>
        <v>17828</v>
      </c>
      <c r="M320" s="3">
        <f t="shared" si="9"/>
        <v>13.629969418960245</v>
      </c>
    </row>
    <row r="321" spans="1:13" x14ac:dyDescent="0.35">
      <c r="A321" t="s">
        <v>11</v>
      </c>
      <c r="B321" t="s">
        <v>59</v>
      </c>
      <c r="C321" t="s">
        <v>27</v>
      </c>
      <c r="D321" t="s">
        <v>22</v>
      </c>
      <c r="E321" t="s">
        <v>23</v>
      </c>
      <c r="F321" s="4">
        <v>1691</v>
      </c>
      <c r="G321" s="9" t="s">
        <v>682</v>
      </c>
      <c r="H321" s="1">
        <v>45224</v>
      </c>
      <c r="I321" t="s">
        <v>48</v>
      </c>
      <c r="J321" t="s">
        <v>683</v>
      </c>
      <c r="K321" t="s">
        <v>56</v>
      </c>
      <c r="L321" s="3">
        <f t="shared" si="8"/>
        <v>37249</v>
      </c>
      <c r="M321" s="3">
        <f t="shared" si="9"/>
        <v>22.027794204612654</v>
      </c>
    </row>
    <row r="322" spans="1:13" x14ac:dyDescent="0.35">
      <c r="A322" t="s">
        <v>11</v>
      </c>
      <c r="B322" t="s">
        <v>62</v>
      </c>
      <c r="C322" t="s">
        <v>77</v>
      </c>
      <c r="D322" t="s">
        <v>34</v>
      </c>
      <c r="E322" t="s">
        <v>43</v>
      </c>
      <c r="F322" s="4">
        <v>1028</v>
      </c>
      <c r="G322" s="9" t="s">
        <v>684</v>
      </c>
      <c r="H322" s="1">
        <v>45383</v>
      </c>
      <c r="I322" t="s">
        <v>30</v>
      </c>
      <c r="J322" t="s">
        <v>685</v>
      </c>
      <c r="K322" t="s">
        <v>56</v>
      </c>
      <c r="L322" s="3">
        <f t="shared" ref="L322:L385" si="10">VALUE(SUBSTITUTE(G322,"$",""))</f>
        <v>7222</v>
      </c>
      <c r="M322" s="3">
        <f t="shared" si="9"/>
        <v>7.0252918287937742</v>
      </c>
    </row>
    <row r="323" spans="1:13" x14ac:dyDescent="0.35">
      <c r="A323" t="s">
        <v>86</v>
      </c>
      <c r="B323" t="s">
        <v>59</v>
      </c>
      <c r="C323" t="s">
        <v>21</v>
      </c>
      <c r="D323" t="s">
        <v>14</v>
      </c>
      <c r="E323">
        <v>30</v>
      </c>
      <c r="F323" s="4">
        <v>1134</v>
      </c>
      <c r="G323" s="9" t="s">
        <v>686</v>
      </c>
      <c r="H323" s="1">
        <v>45233</v>
      </c>
      <c r="I323" t="s">
        <v>48</v>
      </c>
      <c r="J323" t="s">
        <v>687</v>
      </c>
      <c r="K323" t="s">
        <v>32</v>
      </c>
      <c r="L323" s="3">
        <f t="shared" si="10"/>
        <v>5856</v>
      </c>
      <c r="M323" s="3">
        <f t="shared" ref="M323:M386" si="11">VALUE(SUBSTITUTE(SUBSTITUTE(G323,"$",""),",",""))/F323</f>
        <v>5.1640211640211637</v>
      </c>
    </row>
    <row r="324" spans="1:13" x14ac:dyDescent="0.35">
      <c r="A324" t="s">
        <v>53</v>
      </c>
      <c r="B324" t="s">
        <v>40</v>
      </c>
      <c r="C324" t="s">
        <v>21</v>
      </c>
      <c r="D324" t="s">
        <v>89</v>
      </c>
      <c r="E324" t="s">
        <v>15</v>
      </c>
      <c r="F324" s="4">
        <v>1503</v>
      </c>
      <c r="G324" s="9" t="s">
        <v>688</v>
      </c>
      <c r="H324" s="1">
        <v>45469</v>
      </c>
      <c r="I324" t="s">
        <v>36</v>
      </c>
      <c r="J324" t="s">
        <v>689</v>
      </c>
      <c r="K324" t="s">
        <v>38</v>
      </c>
      <c r="L324" s="3">
        <f t="shared" si="10"/>
        <v>19148</v>
      </c>
      <c r="M324" s="3">
        <f t="shared" si="11"/>
        <v>12.739853626081171</v>
      </c>
    </row>
    <row r="325" spans="1:13" x14ac:dyDescent="0.35">
      <c r="A325" t="s">
        <v>53</v>
      </c>
      <c r="B325" t="s">
        <v>12</v>
      </c>
      <c r="C325" t="s">
        <v>13</v>
      </c>
      <c r="D325" t="s">
        <v>22</v>
      </c>
      <c r="E325" t="s">
        <v>43</v>
      </c>
      <c r="F325" s="4">
        <v>1509</v>
      </c>
      <c r="G325" s="9" t="s">
        <v>690</v>
      </c>
      <c r="H325" s="1">
        <v>45269</v>
      </c>
      <c r="I325" t="s">
        <v>45</v>
      </c>
      <c r="J325" t="s">
        <v>691</v>
      </c>
      <c r="K325" t="s">
        <v>32</v>
      </c>
      <c r="L325" s="3">
        <f t="shared" si="10"/>
        <v>30615</v>
      </c>
      <c r="M325" s="3">
        <f t="shared" si="11"/>
        <v>20.2882703777336</v>
      </c>
    </row>
    <row r="326" spans="1:13" x14ac:dyDescent="0.35">
      <c r="A326" t="s">
        <v>86</v>
      </c>
      <c r="B326" t="s">
        <v>40</v>
      </c>
      <c r="C326" t="s">
        <v>77</v>
      </c>
      <c r="D326" t="s">
        <v>34</v>
      </c>
      <c r="E326" t="s">
        <v>43</v>
      </c>
      <c r="F326" s="4">
        <v>578</v>
      </c>
      <c r="G326" s="9" t="s">
        <v>692</v>
      </c>
      <c r="H326" s="1">
        <v>45339</v>
      </c>
      <c r="I326" t="s">
        <v>36</v>
      </c>
      <c r="J326" t="s">
        <v>693</v>
      </c>
      <c r="K326" t="s">
        <v>19</v>
      </c>
      <c r="L326" s="3">
        <f t="shared" si="10"/>
        <v>33113</v>
      </c>
      <c r="M326" s="3">
        <f t="shared" si="11"/>
        <v>57.288927335640139</v>
      </c>
    </row>
    <row r="327" spans="1:13" x14ac:dyDescent="0.35">
      <c r="A327" t="s">
        <v>39</v>
      </c>
      <c r="B327" t="s">
        <v>40</v>
      </c>
      <c r="C327" t="s">
        <v>21</v>
      </c>
      <c r="D327" t="s">
        <v>89</v>
      </c>
      <c r="E327" t="s">
        <v>43</v>
      </c>
      <c r="F327" s="4">
        <v>1195</v>
      </c>
      <c r="G327" s="9" t="s">
        <v>694</v>
      </c>
      <c r="H327" s="1">
        <v>45178</v>
      </c>
      <c r="I327" t="s">
        <v>48</v>
      </c>
      <c r="J327" t="s">
        <v>695</v>
      </c>
      <c r="K327" t="s">
        <v>52</v>
      </c>
      <c r="L327" s="3">
        <f t="shared" si="10"/>
        <v>42794</v>
      </c>
      <c r="M327" s="3">
        <f t="shared" si="11"/>
        <v>35.81087866108787</v>
      </c>
    </row>
    <row r="328" spans="1:13" x14ac:dyDescent="0.35">
      <c r="A328" t="s">
        <v>86</v>
      </c>
      <c r="B328" t="s">
        <v>59</v>
      </c>
      <c r="C328" t="s">
        <v>33</v>
      </c>
      <c r="D328" t="s">
        <v>28</v>
      </c>
      <c r="E328">
        <v>60</v>
      </c>
      <c r="F328" s="4">
        <v>485</v>
      </c>
      <c r="G328" s="9" t="s">
        <v>696</v>
      </c>
      <c r="H328" s="1">
        <v>45352</v>
      </c>
      <c r="I328" t="s">
        <v>48</v>
      </c>
      <c r="J328" t="s">
        <v>697</v>
      </c>
      <c r="K328" t="s">
        <v>38</v>
      </c>
      <c r="L328" s="3">
        <f t="shared" si="10"/>
        <v>29314</v>
      </c>
      <c r="M328" s="3">
        <f t="shared" si="11"/>
        <v>60.44123711340206</v>
      </c>
    </row>
    <row r="329" spans="1:13" x14ac:dyDescent="0.35">
      <c r="A329" t="s">
        <v>26</v>
      </c>
      <c r="B329" t="s">
        <v>62</v>
      </c>
      <c r="C329" t="s">
        <v>13</v>
      </c>
      <c r="D329" t="s">
        <v>14</v>
      </c>
      <c r="E329">
        <v>60</v>
      </c>
      <c r="F329" s="4">
        <v>819</v>
      </c>
      <c r="G329" s="9" t="s">
        <v>698</v>
      </c>
      <c r="H329" s="1">
        <v>45202</v>
      </c>
      <c r="I329" t="s">
        <v>17</v>
      </c>
      <c r="J329" t="s">
        <v>699</v>
      </c>
      <c r="K329" t="s">
        <v>56</v>
      </c>
      <c r="L329" s="3">
        <f t="shared" si="10"/>
        <v>47811</v>
      </c>
      <c r="M329" s="3">
        <f t="shared" si="11"/>
        <v>58.37728937728938</v>
      </c>
    </row>
    <row r="330" spans="1:13" x14ac:dyDescent="0.35">
      <c r="A330" t="s">
        <v>39</v>
      </c>
      <c r="B330" t="s">
        <v>20</v>
      </c>
      <c r="C330" t="s">
        <v>77</v>
      </c>
      <c r="D330" t="s">
        <v>14</v>
      </c>
      <c r="E330" t="s">
        <v>23</v>
      </c>
      <c r="F330" s="4">
        <v>1654</v>
      </c>
      <c r="G330" s="9" t="s">
        <v>700</v>
      </c>
      <c r="H330" s="1">
        <v>45386</v>
      </c>
      <c r="I330" t="s">
        <v>17</v>
      </c>
      <c r="J330" t="s">
        <v>701</v>
      </c>
      <c r="K330" t="s">
        <v>38</v>
      </c>
      <c r="L330" s="3">
        <f t="shared" si="10"/>
        <v>16660</v>
      </c>
      <c r="M330" s="3">
        <f t="shared" si="11"/>
        <v>10.07255139056832</v>
      </c>
    </row>
    <row r="331" spans="1:13" x14ac:dyDescent="0.35">
      <c r="A331" t="s">
        <v>86</v>
      </c>
      <c r="B331" t="s">
        <v>12</v>
      </c>
      <c r="C331" t="s">
        <v>27</v>
      </c>
      <c r="D331" t="s">
        <v>22</v>
      </c>
      <c r="E331">
        <v>60</v>
      </c>
      <c r="F331" s="4">
        <v>1957</v>
      </c>
      <c r="G331" s="9" t="s">
        <v>702</v>
      </c>
      <c r="H331" s="1">
        <v>45409</v>
      </c>
      <c r="I331" t="s">
        <v>45</v>
      </c>
      <c r="J331" t="s">
        <v>703</v>
      </c>
      <c r="K331" t="s">
        <v>52</v>
      </c>
      <c r="L331" s="3">
        <f t="shared" si="10"/>
        <v>32269</v>
      </c>
      <c r="M331" s="3">
        <f t="shared" si="11"/>
        <v>16.489013796627493</v>
      </c>
    </row>
    <row r="332" spans="1:13" x14ac:dyDescent="0.35">
      <c r="A332" t="s">
        <v>26</v>
      </c>
      <c r="B332" t="s">
        <v>62</v>
      </c>
      <c r="C332" t="s">
        <v>21</v>
      </c>
      <c r="D332" t="s">
        <v>28</v>
      </c>
      <c r="E332">
        <v>60</v>
      </c>
      <c r="F332" s="4">
        <v>799</v>
      </c>
      <c r="G332" s="9" t="s">
        <v>704</v>
      </c>
      <c r="H332" s="1">
        <v>45375</v>
      </c>
      <c r="I332" t="s">
        <v>45</v>
      </c>
      <c r="J332" t="s">
        <v>705</v>
      </c>
      <c r="K332" t="s">
        <v>32</v>
      </c>
      <c r="L332" s="3">
        <f t="shared" si="10"/>
        <v>10708</v>
      </c>
      <c r="M332" s="3">
        <f t="shared" si="11"/>
        <v>13.401752190237797</v>
      </c>
    </row>
    <row r="333" spans="1:13" x14ac:dyDescent="0.35">
      <c r="A333" t="s">
        <v>39</v>
      </c>
      <c r="B333" t="s">
        <v>40</v>
      </c>
      <c r="C333" t="s">
        <v>21</v>
      </c>
      <c r="D333" t="s">
        <v>34</v>
      </c>
      <c r="E333" t="s">
        <v>23</v>
      </c>
      <c r="F333" s="4">
        <v>1532</v>
      </c>
      <c r="G333" s="9" t="s">
        <v>706</v>
      </c>
      <c r="H333" s="1">
        <v>45395</v>
      </c>
      <c r="I333" t="s">
        <v>48</v>
      </c>
      <c r="J333" t="s">
        <v>707</v>
      </c>
      <c r="K333" t="s">
        <v>19</v>
      </c>
      <c r="L333" s="3">
        <f t="shared" si="10"/>
        <v>5489</v>
      </c>
      <c r="M333" s="3">
        <f t="shared" si="11"/>
        <v>3.5828981723237598</v>
      </c>
    </row>
    <row r="334" spans="1:13" x14ac:dyDescent="0.35">
      <c r="A334" t="s">
        <v>53</v>
      </c>
      <c r="B334" t="s">
        <v>12</v>
      </c>
      <c r="C334" t="s">
        <v>33</v>
      </c>
      <c r="D334" t="s">
        <v>89</v>
      </c>
      <c r="E334" t="s">
        <v>23</v>
      </c>
      <c r="F334" s="4">
        <v>1786</v>
      </c>
      <c r="G334" s="9" t="s">
        <v>708</v>
      </c>
      <c r="H334" s="1">
        <v>45181</v>
      </c>
      <c r="I334" t="s">
        <v>30</v>
      </c>
      <c r="J334" t="s">
        <v>709</v>
      </c>
      <c r="K334" t="s">
        <v>32</v>
      </c>
      <c r="L334" s="3">
        <f t="shared" si="10"/>
        <v>11345</v>
      </c>
      <c r="M334" s="3">
        <f t="shared" si="11"/>
        <v>6.3521836506159017</v>
      </c>
    </row>
    <row r="335" spans="1:13" x14ac:dyDescent="0.35">
      <c r="A335" t="s">
        <v>11</v>
      </c>
      <c r="B335" t="s">
        <v>62</v>
      </c>
      <c r="C335" t="s">
        <v>77</v>
      </c>
      <c r="D335" t="s">
        <v>28</v>
      </c>
      <c r="E335" t="s">
        <v>23</v>
      </c>
      <c r="F335" s="4">
        <v>1927</v>
      </c>
      <c r="G335" s="9" t="s">
        <v>710</v>
      </c>
      <c r="H335" s="1">
        <v>45293</v>
      </c>
      <c r="I335" t="s">
        <v>36</v>
      </c>
      <c r="J335" t="s">
        <v>711</v>
      </c>
      <c r="K335" t="s">
        <v>32</v>
      </c>
      <c r="L335" s="3">
        <f t="shared" si="10"/>
        <v>8953</v>
      </c>
      <c r="M335" s="3">
        <f t="shared" si="11"/>
        <v>4.6460819927348211</v>
      </c>
    </row>
    <row r="336" spans="1:13" x14ac:dyDescent="0.35">
      <c r="A336" t="s">
        <v>86</v>
      </c>
      <c r="B336" t="s">
        <v>12</v>
      </c>
      <c r="C336" t="s">
        <v>27</v>
      </c>
      <c r="D336" t="s">
        <v>34</v>
      </c>
      <c r="E336">
        <v>60</v>
      </c>
      <c r="F336" s="4">
        <v>1475</v>
      </c>
      <c r="G336" s="9" t="s">
        <v>712</v>
      </c>
      <c r="H336" s="1">
        <v>45497</v>
      </c>
      <c r="I336" t="s">
        <v>30</v>
      </c>
      <c r="J336" t="s">
        <v>713</v>
      </c>
      <c r="K336" t="s">
        <v>52</v>
      </c>
      <c r="L336" s="3">
        <f t="shared" si="10"/>
        <v>27251</v>
      </c>
      <c r="M336" s="3">
        <f t="shared" si="11"/>
        <v>18.475254237288137</v>
      </c>
    </row>
    <row r="337" spans="1:13" x14ac:dyDescent="0.35">
      <c r="A337" t="s">
        <v>39</v>
      </c>
      <c r="B337" t="s">
        <v>20</v>
      </c>
      <c r="C337" t="s">
        <v>27</v>
      </c>
      <c r="D337" t="s">
        <v>14</v>
      </c>
      <c r="E337" t="s">
        <v>43</v>
      </c>
      <c r="F337" s="4">
        <v>290</v>
      </c>
      <c r="G337" s="9" t="s">
        <v>714</v>
      </c>
      <c r="H337" s="1">
        <v>45420</v>
      </c>
      <c r="I337" t="s">
        <v>36</v>
      </c>
      <c r="J337" t="s">
        <v>715</v>
      </c>
      <c r="K337" t="s">
        <v>19</v>
      </c>
      <c r="L337" s="3">
        <f t="shared" si="10"/>
        <v>16582</v>
      </c>
      <c r="M337" s="3">
        <f t="shared" si="11"/>
        <v>57.179310344827584</v>
      </c>
    </row>
    <row r="338" spans="1:13" x14ac:dyDescent="0.35">
      <c r="A338" t="s">
        <v>39</v>
      </c>
      <c r="B338" t="s">
        <v>20</v>
      </c>
      <c r="C338" t="s">
        <v>13</v>
      </c>
      <c r="D338" t="s">
        <v>28</v>
      </c>
      <c r="E338">
        <v>60</v>
      </c>
      <c r="F338" s="4">
        <v>677</v>
      </c>
      <c r="G338" s="9" t="s">
        <v>716</v>
      </c>
      <c r="H338" s="1">
        <v>45371</v>
      </c>
      <c r="I338" t="s">
        <v>36</v>
      </c>
      <c r="J338" t="s">
        <v>717</v>
      </c>
      <c r="K338" t="s">
        <v>52</v>
      </c>
      <c r="L338" s="3">
        <f t="shared" si="10"/>
        <v>20916</v>
      </c>
      <c r="M338" s="3">
        <f t="shared" si="11"/>
        <v>30.89512555391433</v>
      </c>
    </row>
    <row r="339" spans="1:13" x14ac:dyDescent="0.35">
      <c r="A339" t="s">
        <v>11</v>
      </c>
      <c r="B339" t="s">
        <v>59</v>
      </c>
      <c r="C339" t="s">
        <v>33</v>
      </c>
      <c r="D339" t="s">
        <v>28</v>
      </c>
      <c r="E339" t="s">
        <v>43</v>
      </c>
      <c r="F339" s="4">
        <v>1728</v>
      </c>
      <c r="G339" s="9" t="s">
        <v>718</v>
      </c>
      <c r="H339" s="1">
        <v>45273</v>
      </c>
      <c r="I339" t="s">
        <v>48</v>
      </c>
      <c r="J339" t="s">
        <v>719</v>
      </c>
      <c r="K339" t="s">
        <v>32</v>
      </c>
      <c r="L339" s="3">
        <f t="shared" si="10"/>
        <v>30905</v>
      </c>
      <c r="M339" s="3">
        <f t="shared" si="11"/>
        <v>17.884837962962962</v>
      </c>
    </row>
    <row r="340" spans="1:13" x14ac:dyDescent="0.35">
      <c r="A340" t="s">
        <v>86</v>
      </c>
      <c r="B340" t="s">
        <v>59</v>
      </c>
      <c r="C340" t="s">
        <v>27</v>
      </c>
      <c r="D340" t="s">
        <v>28</v>
      </c>
      <c r="E340" t="s">
        <v>43</v>
      </c>
      <c r="F340" s="4">
        <v>709</v>
      </c>
      <c r="G340" s="9" t="s">
        <v>720</v>
      </c>
      <c r="H340" s="1">
        <v>45206</v>
      </c>
      <c r="I340" t="s">
        <v>48</v>
      </c>
      <c r="J340" t="s">
        <v>721</v>
      </c>
      <c r="K340" t="s">
        <v>19</v>
      </c>
      <c r="L340" s="3">
        <f t="shared" si="10"/>
        <v>16636</v>
      </c>
      <c r="M340" s="3">
        <f t="shared" si="11"/>
        <v>23.464033850493653</v>
      </c>
    </row>
    <row r="341" spans="1:13" x14ac:dyDescent="0.35">
      <c r="A341" t="s">
        <v>53</v>
      </c>
      <c r="B341" t="s">
        <v>59</v>
      </c>
      <c r="C341" t="s">
        <v>13</v>
      </c>
      <c r="D341" t="s">
        <v>34</v>
      </c>
      <c r="E341">
        <v>60</v>
      </c>
      <c r="F341" s="4">
        <v>1660</v>
      </c>
      <c r="G341" s="9" t="s">
        <v>722</v>
      </c>
      <c r="H341" s="1">
        <v>45472</v>
      </c>
      <c r="I341" t="s">
        <v>48</v>
      </c>
      <c r="J341" t="s">
        <v>723</v>
      </c>
      <c r="K341" t="s">
        <v>56</v>
      </c>
      <c r="L341" s="3">
        <f t="shared" si="10"/>
        <v>9172</v>
      </c>
      <c r="M341" s="3">
        <f t="shared" si="11"/>
        <v>5.5253012048192769</v>
      </c>
    </row>
    <row r="342" spans="1:13" x14ac:dyDescent="0.35">
      <c r="A342" t="s">
        <v>39</v>
      </c>
      <c r="B342" t="s">
        <v>62</v>
      </c>
      <c r="C342" t="s">
        <v>27</v>
      </c>
      <c r="D342" t="s">
        <v>22</v>
      </c>
      <c r="E342">
        <v>60</v>
      </c>
      <c r="F342" s="4">
        <v>1530</v>
      </c>
      <c r="G342" s="9" t="s">
        <v>724</v>
      </c>
      <c r="H342" s="1">
        <v>45136</v>
      </c>
      <c r="I342" t="s">
        <v>36</v>
      </c>
      <c r="J342" t="s">
        <v>725</v>
      </c>
      <c r="K342" t="s">
        <v>56</v>
      </c>
      <c r="L342" s="3">
        <f t="shared" si="10"/>
        <v>15055</v>
      </c>
      <c r="M342" s="3">
        <f t="shared" si="11"/>
        <v>9.8398692810457522</v>
      </c>
    </row>
    <row r="343" spans="1:13" x14ac:dyDescent="0.35">
      <c r="A343" t="s">
        <v>11</v>
      </c>
      <c r="B343" t="s">
        <v>12</v>
      </c>
      <c r="C343" t="s">
        <v>13</v>
      </c>
      <c r="D343" t="s">
        <v>22</v>
      </c>
      <c r="E343">
        <v>60</v>
      </c>
      <c r="F343" s="4">
        <v>1804</v>
      </c>
      <c r="G343" s="9" t="s">
        <v>726</v>
      </c>
      <c r="H343" s="1">
        <v>45191</v>
      </c>
      <c r="I343" t="s">
        <v>36</v>
      </c>
      <c r="J343" t="s">
        <v>727</v>
      </c>
      <c r="K343" t="s">
        <v>32</v>
      </c>
      <c r="L343" s="3">
        <f t="shared" si="10"/>
        <v>17065</v>
      </c>
      <c r="M343" s="3">
        <f t="shared" si="11"/>
        <v>9.4595343680709529</v>
      </c>
    </row>
    <row r="344" spans="1:13" x14ac:dyDescent="0.35">
      <c r="A344" t="s">
        <v>39</v>
      </c>
      <c r="B344" t="s">
        <v>40</v>
      </c>
      <c r="C344" t="s">
        <v>13</v>
      </c>
      <c r="D344" t="s">
        <v>34</v>
      </c>
      <c r="E344" t="s">
        <v>43</v>
      </c>
      <c r="F344" s="4">
        <v>847</v>
      </c>
      <c r="G344" s="9" t="s">
        <v>728</v>
      </c>
      <c r="H344" s="1">
        <v>45451</v>
      </c>
      <c r="I344" t="s">
        <v>48</v>
      </c>
      <c r="J344" t="s">
        <v>729</v>
      </c>
      <c r="K344" t="s">
        <v>38</v>
      </c>
      <c r="L344" s="3">
        <f t="shared" si="10"/>
        <v>20074</v>
      </c>
      <c r="M344" s="3">
        <f t="shared" si="11"/>
        <v>23.700118063754427</v>
      </c>
    </row>
    <row r="345" spans="1:13" x14ac:dyDescent="0.35">
      <c r="A345" t="s">
        <v>86</v>
      </c>
      <c r="B345" t="s">
        <v>62</v>
      </c>
      <c r="C345" t="s">
        <v>33</v>
      </c>
      <c r="D345" t="s">
        <v>34</v>
      </c>
      <c r="E345" t="s">
        <v>15</v>
      </c>
      <c r="F345" s="4">
        <v>1944</v>
      </c>
      <c r="G345" s="9" t="s">
        <v>730</v>
      </c>
      <c r="H345" s="1">
        <v>45378</v>
      </c>
      <c r="I345" t="s">
        <v>36</v>
      </c>
      <c r="J345" t="s">
        <v>731</v>
      </c>
      <c r="K345" t="s">
        <v>38</v>
      </c>
      <c r="L345" s="3">
        <f t="shared" si="10"/>
        <v>25684</v>
      </c>
      <c r="M345" s="3">
        <f t="shared" si="11"/>
        <v>13.2119341563786</v>
      </c>
    </row>
    <row r="346" spans="1:13" x14ac:dyDescent="0.35">
      <c r="A346" t="s">
        <v>11</v>
      </c>
      <c r="B346" t="s">
        <v>59</v>
      </c>
      <c r="C346" t="s">
        <v>27</v>
      </c>
      <c r="D346" t="s">
        <v>22</v>
      </c>
      <c r="E346" t="s">
        <v>23</v>
      </c>
      <c r="F346" s="4">
        <v>1882</v>
      </c>
      <c r="G346" s="9" t="s">
        <v>732</v>
      </c>
      <c r="H346" s="1">
        <v>45458</v>
      </c>
      <c r="I346" t="s">
        <v>45</v>
      </c>
      <c r="J346" t="s">
        <v>733</v>
      </c>
      <c r="K346" t="s">
        <v>38</v>
      </c>
      <c r="L346" s="3">
        <f t="shared" si="10"/>
        <v>14779</v>
      </c>
      <c r="M346" s="3">
        <f t="shared" si="11"/>
        <v>7.8528161530286926</v>
      </c>
    </row>
    <row r="347" spans="1:13" x14ac:dyDescent="0.35">
      <c r="A347" t="s">
        <v>39</v>
      </c>
      <c r="B347" t="s">
        <v>12</v>
      </c>
      <c r="C347" t="s">
        <v>27</v>
      </c>
      <c r="D347" t="s">
        <v>22</v>
      </c>
      <c r="E347" t="s">
        <v>15</v>
      </c>
      <c r="F347" s="4">
        <v>377</v>
      </c>
      <c r="G347" s="9" t="s">
        <v>734</v>
      </c>
      <c r="H347" s="1">
        <v>45350</v>
      </c>
      <c r="I347" t="s">
        <v>45</v>
      </c>
      <c r="J347" t="s">
        <v>735</v>
      </c>
      <c r="K347" t="s">
        <v>32</v>
      </c>
      <c r="L347" s="3">
        <f t="shared" si="10"/>
        <v>20905</v>
      </c>
      <c r="M347" s="3">
        <f t="shared" si="11"/>
        <v>55.450928381962868</v>
      </c>
    </row>
    <row r="348" spans="1:13" x14ac:dyDescent="0.35">
      <c r="A348" t="s">
        <v>26</v>
      </c>
      <c r="B348" t="s">
        <v>12</v>
      </c>
      <c r="C348" t="s">
        <v>33</v>
      </c>
      <c r="D348" t="s">
        <v>14</v>
      </c>
      <c r="E348" t="s">
        <v>15</v>
      </c>
      <c r="F348" s="4">
        <v>1784</v>
      </c>
      <c r="G348" s="9" t="s">
        <v>736</v>
      </c>
      <c r="H348" s="1">
        <v>45164</v>
      </c>
      <c r="I348" t="s">
        <v>36</v>
      </c>
      <c r="J348" t="s">
        <v>737</v>
      </c>
      <c r="K348" t="s">
        <v>38</v>
      </c>
      <c r="L348" s="3">
        <f t="shared" si="10"/>
        <v>11761</v>
      </c>
      <c r="M348" s="3">
        <f t="shared" si="11"/>
        <v>6.5924887892376685</v>
      </c>
    </row>
    <row r="349" spans="1:13" x14ac:dyDescent="0.35">
      <c r="A349" t="s">
        <v>39</v>
      </c>
      <c r="B349" t="s">
        <v>20</v>
      </c>
      <c r="C349" t="s">
        <v>33</v>
      </c>
      <c r="D349" t="s">
        <v>28</v>
      </c>
      <c r="E349" t="s">
        <v>23</v>
      </c>
      <c r="F349" s="4">
        <v>1414</v>
      </c>
      <c r="G349" s="9" t="s">
        <v>738</v>
      </c>
      <c r="H349" s="1">
        <v>45424</v>
      </c>
      <c r="I349" t="s">
        <v>45</v>
      </c>
      <c r="J349" t="s">
        <v>739</v>
      </c>
      <c r="K349" t="s">
        <v>19</v>
      </c>
      <c r="L349" s="3">
        <f t="shared" si="10"/>
        <v>29966</v>
      </c>
      <c r="M349" s="3">
        <f t="shared" si="11"/>
        <v>21.192362093352191</v>
      </c>
    </row>
    <row r="350" spans="1:13" x14ac:dyDescent="0.35">
      <c r="A350" t="s">
        <v>11</v>
      </c>
      <c r="B350" t="s">
        <v>62</v>
      </c>
      <c r="C350" t="s">
        <v>77</v>
      </c>
      <c r="D350" t="s">
        <v>14</v>
      </c>
      <c r="E350">
        <v>60</v>
      </c>
      <c r="F350" s="4">
        <v>1782</v>
      </c>
      <c r="G350" s="9" t="s">
        <v>740</v>
      </c>
      <c r="H350" s="1">
        <v>45284</v>
      </c>
      <c r="I350" t="s">
        <v>45</v>
      </c>
      <c r="J350" t="s">
        <v>741</v>
      </c>
      <c r="K350" t="s">
        <v>32</v>
      </c>
      <c r="L350" s="3">
        <f t="shared" si="10"/>
        <v>32047</v>
      </c>
      <c r="M350" s="3">
        <f t="shared" si="11"/>
        <v>17.983726150392815</v>
      </c>
    </row>
    <row r="351" spans="1:13" x14ac:dyDescent="0.35">
      <c r="A351" t="s">
        <v>11</v>
      </c>
      <c r="B351" t="s">
        <v>40</v>
      </c>
      <c r="C351" t="s">
        <v>77</v>
      </c>
      <c r="D351" t="s">
        <v>14</v>
      </c>
      <c r="E351">
        <v>30</v>
      </c>
      <c r="F351" s="4">
        <v>221</v>
      </c>
      <c r="G351" s="9" t="s">
        <v>742</v>
      </c>
      <c r="H351" s="1">
        <v>45454</v>
      </c>
      <c r="I351" t="s">
        <v>45</v>
      </c>
      <c r="J351" t="s">
        <v>743</v>
      </c>
      <c r="K351" t="s">
        <v>19</v>
      </c>
      <c r="L351" s="3">
        <f t="shared" si="10"/>
        <v>40972</v>
      </c>
      <c r="M351" s="3">
        <f t="shared" si="11"/>
        <v>185.39366515837105</v>
      </c>
    </row>
    <row r="352" spans="1:13" x14ac:dyDescent="0.35">
      <c r="A352" t="s">
        <v>39</v>
      </c>
      <c r="B352" t="s">
        <v>12</v>
      </c>
      <c r="C352" t="s">
        <v>77</v>
      </c>
      <c r="D352" t="s">
        <v>34</v>
      </c>
      <c r="E352">
        <v>60</v>
      </c>
      <c r="F352" s="4">
        <v>1221</v>
      </c>
      <c r="G352" s="9" t="s">
        <v>744</v>
      </c>
      <c r="H352" s="1">
        <v>45181</v>
      </c>
      <c r="I352" t="s">
        <v>48</v>
      </c>
      <c r="J352" t="s">
        <v>745</v>
      </c>
      <c r="K352" t="s">
        <v>19</v>
      </c>
      <c r="L352" s="3">
        <f t="shared" si="10"/>
        <v>15799</v>
      </c>
      <c r="M352" s="3">
        <f t="shared" si="11"/>
        <v>12.939393939393939</v>
      </c>
    </row>
    <row r="353" spans="1:13" x14ac:dyDescent="0.35">
      <c r="A353" t="s">
        <v>39</v>
      </c>
      <c r="B353" t="s">
        <v>20</v>
      </c>
      <c r="C353" t="s">
        <v>21</v>
      </c>
      <c r="D353" t="s">
        <v>22</v>
      </c>
      <c r="E353">
        <v>60</v>
      </c>
      <c r="F353" s="4">
        <v>1461</v>
      </c>
      <c r="G353" s="9" t="s">
        <v>746</v>
      </c>
      <c r="H353" s="1">
        <v>45154</v>
      </c>
      <c r="I353" t="s">
        <v>30</v>
      </c>
      <c r="J353" t="s">
        <v>747</v>
      </c>
      <c r="K353" t="s">
        <v>56</v>
      </c>
      <c r="L353" s="3">
        <f t="shared" si="10"/>
        <v>28440</v>
      </c>
      <c r="M353" s="3">
        <f t="shared" si="11"/>
        <v>19.466119096509239</v>
      </c>
    </row>
    <row r="354" spans="1:13" x14ac:dyDescent="0.35">
      <c r="A354" t="s">
        <v>86</v>
      </c>
      <c r="B354" t="s">
        <v>62</v>
      </c>
      <c r="C354" t="s">
        <v>77</v>
      </c>
      <c r="D354" t="s">
        <v>14</v>
      </c>
      <c r="E354" t="s">
        <v>23</v>
      </c>
      <c r="F354" s="4">
        <v>1621</v>
      </c>
      <c r="G354" s="9" t="s">
        <v>748</v>
      </c>
      <c r="H354" s="1">
        <v>45151</v>
      </c>
      <c r="I354" t="s">
        <v>36</v>
      </c>
      <c r="J354" t="s">
        <v>749</v>
      </c>
      <c r="K354" t="s">
        <v>52</v>
      </c>
      <c r="L354" s="3">
        <f t="shared" si="10"/>
        <v>22584</v>
      </c>
      <c r="M354" s="3">
        <f t="shared" si="11"/>
        <v>13.932140653917335</v>
      </c>
    </row>
    <row r="355" spans="1:13" x14ac:dyDescent="0.35">
      <c r="A355" t="s">
        <v>53</v>
      </c>
      <c r="B355" t="s">
        <v>59</v>
      </c>
      <c r="C355" t="s">
        <v>27</v>
      </c>
      <c r="D355" t="s">
        <v>28</v>
      </c>
      <c r="E355" t="s">
        <v>23</v>
      </c>
      <c r="F355" s="4">
        <v>587</v>
      </c>
      <c r="G355" s="9" t="s">
        <v>750</v>
      </c>
      <c r="H355" s="1">
        <v>45212</v>
      </c>
      <c r="I355" t="s">
        <v>30</v>
      </c>
      <c r="J355" t="s">
        <v>751</v>
      </c>
      <c r="K355" t="s">
        <v>56</v>
      </c>
      <c r="L355" s="3">
        <f t="shared" si="10"/>
        <v>49864</v>
      </c>
      <c r="M355" s="3">
        <f t="shared" si="11"/>
        <v>84.947189097103916</v>
      </c>
    </row>
    <row r="356" spans="1:13" x14ac:dyDescent="0.35">
      <c r="A356" t="s">
        <v>11</v>
      </c>
      <c r="B356" t="s">
        <v>59</v>
      </c>
      <c r="C356" t="s">
        <v>33</v>
      </c>
      <c r="D356" t="s">
        <v>34</v>
      </c>
      <c r="E356" t="s">
        <v>23</v>
      </c>
      <c r="F356" s="4">
        <v>902</v>
      </c>
      <c r="G356" s="9" t="s">
        <v>752</v>
      </c>
      <c r="H356" s="1">
        <v>45213</v>
      </c>
      <c r="I356" t="s">
        <v>17</v>
      </c>
      <c r="J356" t="s">
        <v>753</v>
      </c>
      <c r="K356" t="s">
        <v>19</v>
      </c>
      <c r="L356" s="3">
        <f t="shared" si="10"/>
        <v>15266</v>
      </c>
      <c r="M356" s="3">
        <f t="shared" si="11"/>
        <v>16.924611973392462</v>
      </c>
    </row>
    <row r="357" spans="1:13" x14ac:dyDescent="0.35">
      <c r="A357" t="s">
        <v>39</v>
      </c>
      <c r="B357" t="s">
        <v>62</v>
      </c>
      <c r="C357" t="s">
        <v>21</v>
      </c>
      <c r="D357" t="s">
        <v>34</v>
      </c>
      <c r="E357" t="s">
        <v>43</v>
      </c>
      <c r="F357" s="4">
        <v>447</v>
      </c>
      <c r="G357" s="9" t="s">
        <v>754</v>
      </c>
      <c r="H357" s="1">
        <v>45254</v>
      </c>
      <c r="I357" t="s">
        <v>36</v>
      </c>
      <c r="J357" t="s">
        <v>755</v>
      </c>
      <c r="K357" t="s">
        <v>56</v>
      </c>
      <c r="L357" s="3">
        <f t="shared" si="10"/>
        <v>5128</v>
      </c>
      <c r="M357" s="3">
        <f t="shared" si="11"/>
        <v>11.472035794183444</v>
      </c>
    </row>
    <row r="358" spans="1:13" x14ac:dyDescent="0.35">
      <c r="A358" t="s">
        <v>53</v>
      </c>
      <c r="B358" t="s">
        <v>20</v>
      </c>
      <c r="C358" t="s">
        <v>33</v>
      </c>
      <c r="D358" t="s">
        <v>14</v>
      </c>
      <c r="E358">
        <v>60</v>
      </c>
      <c r="F358" s="4">
        <v>646</v>
      </c>
      <c r="G358" s="9" t="s">
        <v>756</v>
      </c>
      <c r="H358" s="1">
        <v>45483</v>
      </c>
      <c r="I358" t="s">
        <v>17</v>
      </c>
      <c r="J358" t="s">
        <v>757</v>
      </c>
      <c r="K358" t="s">
        <v>38</v>
      </c>
      <c r="L358" s="3">
        <f t="shared" si="10"/>
        <v>39113</v>
      </c>
      <c r="M358" s="3">
        <f t="shared" si="11"/>
        <v>60.546439628482972</v>
      </c>
    </row>
    <row r="359" spans="1:13" x14ac:dyDescent="0.35">
      <c r="A359" t="s">
        <v>86</v>
      </c>
      <c r="B359" t="s">
        <v>40</v>
      </c>
      <c r="C359" t="s">
        <v>13</v>
      </c>
      <c r="D359" t="s">
        <v>34</v>
      </c>
      <c r="E359" t="s">
        <v>23</v>
      </c>
      <c r="F359" s="4">
        <v>1135</v>
      </c>
      <c r="G359" s="9" t="s">
        <v>758</v>
      </c>
      <c r="H359" s="1">
        <v>45165</v>
      </c>
      <c r="I359" t="s">
        <v>36</v>
      </c>
      <c r="J359" t="s">
        <v>759</v>
      </c>
      <c r="K359" t="s">
        <v>52</v>
      </c>
      <c r="L359" s="3">
        <f t="shared" si="10"/>
        <v>12514</v>
      </c>
      <c r="M359" s="3">
        <f t="shared" si="11"/>
        <v>11.025550660792952</v>
      </c>
    </row>
    <row r="360" spans="1:13" x14ac:dyDescent="0.35">
      <c r="A360" t="s">
        <v>11</v>
      </c>
      <c r="B360" t="s">
        <v>20</v>
      </c>
      <c r="C360" t="s">
        <v>27</v>
      </c>
      <c r="D360" t="s">
        <v>89</v>
      </c>
      <c r="E360" t="s">
        <v>15</v>
      </c>
      <c r="F360" s="4">
        <v>1494</v>
      </c>
      <c r="G360" s="9" t="s">
        <v>760</v>
      </c>
      <c r="H360" s="1">
        <v>45276</v>
      </c>
      <c r="I360" t="s">
        <v>30</v>
      </c>
      <c r="J360" t="s">
        <v>761</v>
      </c>
      <c r="K360" t="s">
        <v>19</v>
      </c>
      <c r="L360" s="3">
        <f t="shared" si="10"/>
        <v>45452</v>
      </c>
      <c r="M360" s="3">
        <f t="shared" si="11"/>
        <v>30.42302543507363</v>
      </c>
    </row>
    <row r="361" spans="1:13" x14ac:dyDescent="0.35">
      <c r="A361" t="s">
        <v>39</v>
      </c>
      <c r="B361" t="s">
        <v>20</v>
      </c>
      <c r="C361" t="s">
        <v>13</v>
      </c>
      <c r="D361" t="s">
        <v>28</v>
      </c>
      <c r="E361" t="s">
        <v>15</v>
      </c>
      <c r="F361" s="4">
        <v>279</v>
      </c>
      <c r="G361" s="9" t="s">
        <v>762</v>
      </c>
      <c r="H361" s="1">
        <v>45305</v>
      </c>
      <c r="I361" t="s">
        <v>30</v>
      </c>
      <c r="J361" t="s">
        <v>763</v>
      </c>
      <c r="K361" t="s">
        <v>32</v>
      </c>
      <c r="L361" s="3">
        <f t="shared" si="10"/>
        <v>32754</v>
      </c>
      <c r="M361" s="3">
        <f t="shared" si="11"/>
        <v>117.39784946236558</v>
      </c>
    </row>
    <row r="362" spans="1:13" x14ac:dyDescent="0.35">
      <c r="A362" t="s">
        <v>26</v>
      </c>
      <c r="B362" t="s">
        <v>40</v>
      </c>
      <c r="C362" t="s">
        <v>77</v>
      </c>
      <c r="D362" t="s">
        <v>28</v>
      </c>
      <c r="E362" t="s">
        <v>15</v>
      </c>
      <c r="F362" s="4">
        <v>302</v>
      </c>
      <c r="G362" s="9" t="s">
        <v>764</v>
      </c>
      <c r="H362" s="1">
        <v>45440</v>
      </c>
      <c r="I362" t="s">
        <v>17</v>
      </c>
      <c r="J362" t="s">
        <v>765</v>
      </c>
      <c r="K362" t="s">
        <v>56</v>
      </c>
      <c r="L362" s="3">
        <f t="shared" si="10"/>
        <v>20937</v>
      </c>
      <c r="M362" s="3">
        <f t="shared" si="11"/>
        <v>69.327814569536429</v>
      </c>
    </row>
    <row r="363" spans="1:13" x14ac:dyDescent="0.35">
      <c r="A363" t="s">
        <v>86</v>
      </c>
      <c r="B363" t="s">
        <v>62</v>
      </c>
      <c r="C363" t="s">
        <v>33</v>
      </c>
      <c r="D363" t="s">
        <v>34</v>
      </c>
      <c r="E363" t="s">
        <v>43</v>
      </c>
      <c r="F363" s="4">
        <v>1306</v>
      </c>
      <c r="G363" s="9" t="s">
        <v>766</v>
      </c>
      <c r="H363" s="1">
        <v>45419</v>
      </c>
      <c r="I363" t="s">
        <v>45</v>
      </c>
      <c r="J363" t="s">
        <v>555</v>
      </c>
      <c r="K363" t="s">
        <v>56</v>
      </c>
      <c r="L363" s="3">
        <f t="shared" si="10"/>
        <v>35777</v>
      </c>
      <c r="M363" s="3">
        <f t="shared" si="11"/>
        <v>27.394333843797856</v>
      </c>
    </row>
    <row r="364" spans="1:13" x14ac:dyDescent="0.35">
      <c r="A364" t="s">
        <v>86</v>
      </c>
      <c r="B364" t="s">
        <v>12</v>
      </c>
      <c r="C364" t="s">
        <v>27</v>
      </c>
      <c r="D364" t="s">
        <v>22</v>
      </c>
      <c r="E364" t="s">
        <v>15</v>
      </c>
      <c r="F364" s="4">
        <v>1372</v>
      </c>
      <c r="G364" s="9" t="s">
        <v>767</v>
      </c>
      <c r="H364" s="1">
        <v>45257</v>
      </c>
      <c r="I364" t="s">
        <v>48</v>
      </c>
      <c r="J364" t="s">
        <v>768</v>
      </c>
      <c r="K364" t="s">
        <v>19</v>
      </c>
      <c r="L364" s="3">
        <f t="shared" si="10"/>
        <v>47220</v>
      </c>
      <c r="M364" s="3">
        <f t="shared" si="11"/>
        <v>34.416909620991255</v>
      </c>
    </row>
    <row r="365" spans="1:13" x14ac:dyDescent="0.35">
      <c r="A365" t="s">
        <v>39</v>
      </c>
      <c r="B365" t="s">
        <v>20</v>
      </c>
      <c r="C365" t="s">
        <v>13</v>
      </c>
      <c r="D365" t="s">
        <v>34</v>
      </c>
      <c r="E365">
        <v>60</v>
      </c>
      <c r="F365" s="4">
        <v>873</v>
      </c>
      <c r="G365" s="9" t="s">
        <v>769</v>
      </c>
      <c r="H365" s="1">
        <v>45200</v>
      </c>
      <c r="I365" t="s">
        <v>36</v>
      </c>
      <c r="J365" t="s">
        <v>411</v>
      </c>
      <c r="K365" t="s">
        <v>32</v>
      </c>
      <c r="L365" s="3">
        <f t="shared" si="10"/>
        <v>28524</v>
      </c>
      <c r="M365" s="3">
        <f t="shared" si="11"/>
        <v>32.673539518900341</v>
      </c>
    </row>
    <row r="366" spans="1:13" x14ac:dyDescent="0.35">
      <c r="A366" t="s">
        <v>39</v>
      </c>
      <c r="B366" t="s">
        <v>20</v>
      </c>
      <c r="C366" t="s">
        <v>13</v>
      </c>
      <c r="D366" t="s">
        <v>34</v>
      </c>
      <c r="E366">
        <v>60</v>
      </c>
      <c r="F366" s="4">
        <v>1075</v>
      </c>
      <c r="G366" s="9" t="s">
        <v>770</v>
      </c>
      <c r="H366" s="1">
        <v>45251</v>
      </c>
      <c r="I366" t="s">
        <v>36</v>
      </c>
      <c r="J366" t="s">
        <v>771</v>
      </c>
      <c r="K366" t="s">
        <v>56</v>
      </c>
      <c r="L366" s="3">
        <f t="shared" si="10"/>
        <v>4900</v>
      </c>
      <c r="M366" s="3">
        <f t="shared" si="11"/>
        <v>4.558139534883721</v>
      </c>
    </row>
    <row r="367" spans="1:13" x14ac:dyDescent="0.35">
      <c r="A367" t="s">
        <v>53</v>
      </c>
      <c r="B367" t="s">
        <v>59</v>
      </c>
      <c r="C367" t="s">
        <v>21</v>
      </c>
      <c r="D367" t="s">
        <v>22</v>
      </c>
      <c r="E367" t="s">
        <v>43</v>
      </c>
      <c r="F367" s="4">
        <v>862</v>
      </c>
      <c r="G367" s="9" t="s">
        <v>772</v>
      </c>
      <c r="H367" s="1">
        <v>45242</v>
      </c>
      <c r="I367" t="s">
        <v>45</v>
      </c>
      <c r="J367" t="s">
        <v>773</v>
      </c>
      <c r="K367" t="s">
        <v>19</v>
      </c>
      <c r="L367" s="3">
        <f t="shared" si="10"/>
        <v>17179</v>
      </c>
      <c r="M367" s="3">
        <f t="shared" si="11"/>
        <v>19.929234338747101</v>
      </c>
    </row>
    <row r="368" spans="1:13" x14ac:dyDescent="0.35">
      <c r="A368" t="s">
        <v>39</v>
      </c>
      <c r="B368" t="s">
        <v>12</v>
      </c>
      <c r="C368" t="s">
        <v>77</v>
      </c>
      <c r="D368" t="s">
        <v>14</v>
      </c>
      <c r="E368" t="s">
        <v>43</v>
      </c>
      <c r="F368" s="4">
        <v>1872</v>
      </c>
      <c r="G368" s="9" t="s">
        <v>774</v>
      </c>
      <c r="H368" s="1">
        <v>45139</v>
      </c>
      <c r="I368" t="s">
        <v>36</v>
      </c>
      <c r="J368" t="s">
        <v>775</v>
      </c>
      <c r="K368" t="s">
        <v>38</v>
      </c>
      <c r="L368" s="3">
        <f t="shared" si="10"/>
        <v>42474</v>
      </c>
      <c r="M368" s="3">
        <f t="shared" si="11"/>
        <v>22.689102564102566</v>
      </c>
    </row>
    <row r="369" spans="1:13" x14ac:dyDescent="0.35">
      <c r="A369" t="s">
        <v>26</v>
      </c>
      <c r="B369" t="s">
        <v>40</v>
      </c>
      <c r="C369" t="s">
        <v>77</v>
      </c>
      <c r="D369" t="s">
        <v>34</v>
      </c>
      <c r="E369" t="s">
        <v>15</v>
      </c>
      <c r="F369" s="4">
        <v>1041</v>
      </c>
      <c r="G369" s="9" t="s">
        <v>776</v>
      </c>
      <c r="H369" s="1">
        <v>45457</v>
      </c>
      <c r="I369" t="s">
        <v>45</v>
      </c>
      <c r="J369" t="s">
        <v>777</v>
      </c>
      <c r="K369" t="s">
        <v>32</v>
      </c>
      <c r="L369" s="3">
        <f t="shared" si="10"/>
        <v>45750</v>
      </c>
      <c r="M369" s="3">
        <f t="shared" si="11"/>
        <v>43.948126801152739</v>
      </c>
    </row>
    <row r="370" spans="1:13" x14ac:dyDescent="0.35">
      <c r="A370" t="s">
        <v>39</v>
      </c>
      <c r="B370" t="s">
        <v>12</v>
      </c>
      <c r="C370" t="s">
        <v>27</v>
      </c>
      <c r="D370" t="s">
        <v>34</v>
      </c>
      <c r="E370">
        <v>60</v>
      </c>
      <c r="F370" s="4">
        <v>149</v>
      </c>
      <c r="G370" s="9" t="s">
        <v>778</v>
      </c>
      <c r="H370" s="1">
        <v>45234</v>
      </c>
      <c r="I370" t="s">
        <v>45</v>
      </c>
      <c r="J370" t="s">
        <v>779</v>
      </c>
      <c r="K370" t="s">
        <v>32</v>
      </c>
      <c r="L370" s="3">
        <f t="shared" si="10"/>
        <v>40553</v>
      </c>
      <c r="M370" s="3">
        <f t="shared" si="11"/>
        <v>272.16778523489933</v>
      </c>
    </row>
    <row r="371" spans="1:13" x14ac:dyDescent="0.35">
      <c r="A371" t="s">
        <v>39</v>
      </c>
      <c r="B371" t="s">
        <v>20</v>
      </c>
      <c r="C371" t="s">
        <v>33</v>
      </c>
      <c r="D371" t="s">
        <v>22</v>
      </c>
      <c r="E371">
        <v>60</v>
      </c>
      <c r="F371" s="4">
        <v>996</v>
      </c>
      <c r="G371" s="9" t="s">
        <v>780</v>
      </c>
      <c r="H371" s="1">
        <v>45462</v>
      </c>
      <c r="I371" t="s">
        <v>48</v>
      </c>
      <c r="J371" t="s">
        <v>781</v>
      </c>
      <c r="K371" t="s">
        <v>38</v>
      </c>
      <c r="L371" s="3">
        <f t="shared" si="10"/>
        <v>6016</v>
      </c>
      <c r="M371" s="3">
        <f t="shared" si="11"/>
        <v>6.0401606425702807</v>
      </c>
    </row>
    <row r="372" spans="1:13" x14ac:dyDescent="0.35">
      <c r="A372" t="s">
        <v>11</v>
      </c>
      <c r="B372" t="s">
        <v>62</v>
      </c>
      <c r="C372" t="s">
        <v>33</v>
      </c>
      <c r="D372" t="s">
        <v>22</v>
      </c>
      <c r="E372">
        <v>60</v>
      </c>
      <c r="F372" s="4">
        <v>1890</v>
      </c>
      <c r="G372" s="9" t="s">
        <v>782</v>
      </c>
      <c r="H372" s="1">
        <v>45240</v>
      </c>
      <c r="I372" t="s">
        <v>17</v>
      </c>
      <c r="J372" t="s">
        <v>783</v>
      </c>
      <c r="K372" t="s">
        <v>19</v>
      </c>
      <c r="L372" s="3">
        <f t="shared" si="10"/>
        <v>35859</v>
      </c>
      <c r="M372" s="3">
        <f t="shared" si="11"/>
        <v>18.973015873015871</v>
      </c>
    </row>
    <row r="373" spans="1:13" x14ac:dyDescent="0.35">
      <c r="A373" t="s">
        <v>11</v>
      </c>
      <c r="B373" t="s">
        <v>20</v>
      </c>
      <c r="C373" t="s">
        <v>77</v>
      </c>
      <c r="D373" t="s">
        <v>34</v>
      </c>
      <c r="E373">
        <v>30</v>
      </c>
      <c r="F373" s="4">
        <v>770</v>
      </c>
      <c r="G373" s="9" t="s">
        <v>784</v>
      </c>
      <c r="H373" s="1">
        <v>45216</v>
      </c>
      <c r="I373" t="s">
        <v>30</v>
      </c>
      <c r="J373" t="s">
        <v>785</v>
      </c>
      <c r="K373" t="s">
        <v>56</v>
      </c>
      <c r="L373" s="3">
        <f t="shared" si="10"/>
        <v>15607</v>
      </c>
      <c r="M373" s="3">
        <f t="shared" si="11"/>
        <v>20.26883116883117</v>
      </c>
    </row>
    <row r="374" spans="1:13" x14ac:dyDescent="0.35">
      <c r="A374" t="s">
        <v>26</v>
      </c>
      <c r="B374" t="s">
        <v>59</v>
      </c>
      <c r="C374" t="s">
        <v>33</v>
      </c>
      <c r="D374" t="s">
        <v>28</v>
      </c>
      <c r="E374">
        <v>30</v>
      </c>
      <c r="F374" s="4">
        <v>727</v>
      </c>
      <c r="G374" s="9" t="s">
        <v>786</v>
      </c>
      <c r="H374" s="1">
        <v>45323</v>
      </c>
      <c r="I374" t="s">
        <v>45</v>
      </c>
      <c r="J374" t="s">
        <v>787</v>
      </c>
      <c r="K374" t="s">
        <v>52</v>
      </c>
      <c r="L374" s="3">
        <f t="shared" si="10"/>
        <v>3436</v>
      </c>
      <c r="M374" s="3">
        <f t="shared" si="11"/>
        <v>4.7262723521320495</v>
      </c>
    </row>
    <row r="375" spans="1:13" x14ac:dyDescent="0.35">
      <c r="A375" t="s">
        <v>53</v>
      </c>
      <c r="B375" t="s">
        <v>62</v>
      </c>
      <c r="C375" t="s">
        <v>13</v>
      </c>
      <c r="D375" t="s">
        <v>34</v>
      </c>
      <c r="E375" t="s">
        <v>23</v>
      </c>
      <c r="F375" s="4">
        <v>190</v>
      </c>
      <c r="G375" s="9" t="s">
        <v>788</v>
      </c>
      <c r="H375" s="1">
        <v>45302</v>
      </c>
      <c r="I375" t="s">
        <v>45</v>
      </c>
      <c r="J375" t="s">
        <v>789</v>
      </c>
      <c r="K375" t="s">
        <v>56</v>
      </c>
      <c r="L375" s="3">
        <f t="shared" si="10"/>
        <v>14001</v>
      </c>
      <c r="M375" s="3">
        <f t="shared" si="11"/>
        <v>73.689473684210526</v>
      </c>
    </row>
    <row r="376" spans="1:13" x14ac:dyDescent="0.35">
      <c r="A376" t="s">
        <v>86</v>
      </c>
      <c r="B376" t="s">
        <v>20</v>
      </c>
      <c r="C376" t="s">
        <v>21</v>
      </c>
      <c r="D376" t="s">
        <v>22</v>
      </c>
      <c r="E376" t="s">
        <v>43</v>
      </c>
      <c r="F376" s="4">
        <v>1248</v>
      </c>
      <c r="G376" s="9" t="s">
        <v>790</v>
      </c>
      <c r="H376" s="1">
        <v>45276</v>
      </c>
      <c r="I376" t="s">
        <v>36</v>
      </c>
      <c r="J376" t="s">
        <v>791</v>
      </c>
      <c r="K376" t="s">
        <v>19</v>
      </c>
      <c r="L376" s="3">
        <f t="shared" si="10"/>
        <v>33631</v>
      </c>
      <c r="M376" s="3">
        <f t="shared" si="11"/>
        <v>26.947916666666668</v>
      </c>
    </row>
    <row r="377" spans="1:13" x14ac:dyDescent="0.35">
      <c r="A377" t="s">
        <v>86</v>
      </c>
      <c r="B377" t="s">
        <v>62</v>
      </c>
      <c r="C377" t="s">
        <v>77</v>
      </c>
      <c r="D377" t="s">
        <v>28</v>
      </c>
      <c r="E377">
        <v>30</v>
      </c>
      <c r="F377" s="4">
        <v>1183</v>
      </c>
      <c r="G377" s="9" t="s">
        <v>792</v>
      </c>
      <c r="H377" s="1">
        <v>45367</v>
      </c>
      <c r="I377" t="s">
        <v>48</v>
      </c>
      <c r="J377" t="s">
        <v>793</v>
      </c>
      <c r="K377" t="s">
        <v>19</v>
      </c>
      <c r="L377" s="3">
        <f t="shared" si="10"/>
        <v>39477</v>
      </c>
      <c r="M377" s="3">
        <f t="shared" si="11"/>
        <v>33.370245139475905</v>
      </c>
    </row>
    <row r="378" spans="1:13" x14ac:dyDescent="0.35">
      <c r="A378" t="s">
        <v>53</v>
      </c>
      <c r="B378" t="s">
        <v>62</v>
      </c>
      <c r="C378" t="s">
        <v>13</v>
      </c>
      <c r="D378" t="s">
        <v>89</v>
      </c>
      <c r="E378">
        <v>60</v>
      </c>
      <c r="F378" s="4">
        <v>1394</v>
      </c>
      <c r="G378" s="9" t="s">
        <v>794</v>
      </c>
      <c r="H378" s="1">
        <v>45399</v>
      </c>
      <c r="I378" t="s">
        <v>36</v>
      </c>
      <c r="J378" t="s">
        <v>795</v>
      </c>
      <c r="K378" t="s">
        <v>32</v>
      </c>
      <c r="L378" s="3">
        <f t="shared" si="10"/>
        <v>13808</v>
      </c>
      <c r="M378" s="3">
        <f t="shared" si="11"/>
        <v>9.9053084648493552</v>
      </c>
    </row>
    <row r="379" spans="1:13" x14ac:dyDescent="0.35">
      <c r="A379" t="s">
        <v>26</v>
      </c>
      <c r="B379" t="s">
        <v>62</v>
      </c>
      <c r="C379" t="s">
        <v>77</v>
      </c>
      <c r="D379" t="s">
        <v>22</v>
      </c>
      <c r="E379" t="s">
        <v>23</v>
      </c>
      <c r="F379" s="4">
        <v>626</v>
      </c>
      <c r="G379" s="9" t="s">
        <v>796</v>
      </c>
      <c r="H379" s="1">
        <v>45204</v>
      </c>
      <c r="I379" t="s">
        <v>45</v>
      </c>
      <c r="J379" t="s">
        <v>797</v>
      </c>
      <c r="K379" t="s">
        <v>19</v>
      </c>
      <c r="L379" s="3">
        <f t="shared" si="10"/>
        <v>28471</v>
      </c>
      <c r="M379" s="3">
        <f t="shared" si="11"/>
        <v>45.480830670926515</v>
      </c>
    </row>
    <row r="380" spans="1:13" x14ac:dyDescent="0.35">
      <c r="A380" t="s">
        <v>11</v>
      </c>
      <c r="B380" t="s">
        <v>40</v>
      </c>
      <c r="C380" t="s">
        <v>33</v>
      </c>
      <c r="D380" t="s">
        <v>34</v>
      </c>
      <c r="E380">
        <v>60</v>
      </c>
      <c r="F380" s="4">
        <v>1394</v>
      </c>
      <c r="G380" s="9" t="s">
        <v>798</v>
      </c>
      <c r="H380" s="1">
        <v>45463</v>
      </c>
      <c r="I380" t="s">
        <v>45</v>
      </c>
      <c r="J380" t="s">
        <v>799</v>
      </c>
      <c r="K380" t="s">
        <v>32</v>
      </c>
      <c r="L380" s="3">
        <f t="shared" si="10"/>
        <v>3360</v>
      </c>
      <c r="M380" s="3">
        <f t="shared" si="11"/>
        <v>2.4103299856527975</v>
      </c>
    </row>
    <row r="381" spans="1:13" x14ac:dyDescent="0.35">
      <c r="A381" t="s">
        <v>11</v>
      </c>
      <c r="B381" t="s">
        <v>20</v>
      </c>
      <c r="C381" t="s">
        <v>13</v>
      </c>
      <c r="D381" t="s">
        <v>89</v>
      </c>
      <c r="E381">
        <v>30</v>
      </c>
      <c r="F381" s="4">
        <v>1699</v>
      </c>
      <c r="G381" s="9" t="s">
        <v>800</v>
      </c>
      <c r="H381" s="1">
        <v>45250</v>
      </c>
      <c r="I381" t="s">
        <v>17</v>
      </c>
      <c r="J381" t="s">
        <v>801</v>
      </c>
      <c r="K381" t="s">
        <v>32</v>
      </c>
      <c r="L381" s="3">
        <f t="shared" si="10"/>
        <v>25685</v>
      </c>
      <c r="M381" s="3">
        <f t="shared" si="11"/>
        <v>15.117716303708063</v>
      </c>
    </row>
    <row r="382" spans="1:13" x14ac:dyDescent="0.35">
      <c r="A382" t="s">
        <v>26</v>
      </c>
      <c r="B382" t="s">
        <v>12</v>
      </c>
      <c r="C382" t="s">
        <v>21</v>
      </c>
      <c r="D382" t="s">
        <v>89</v>
      </c>
      <c r="E382">
        <v>30</v>
      </c>
      <c r="F382" s="4">
        <v>364</v>
      </c>
      <c r="G382" s="9" t="s">
        <v>802</v>
      </c>
      <c r="H382" s="1">
        <v>45182</v>
      </c>
      <c r="I382" t="s">
        <v>48</v>
      </c>
      <c r="J382" t="s">
        <v>803</v>
      </c>
      <c r="K382" t="s">
        <v>32</v>
      </c>
      <c r="L382" s="3">
        <f t="shared" si="10"/>
        <v>20390</v>
      </c>
      <c r="M382" s="3">
        <f t="shared" si="11"/>
        <v>56.016483516483518</v>
      </c>
    </row>
    <row r="383" spans="1:13" x14ac:dyDescent="0.35">
      <c r="A383" t="s">
        <v>11</v>
      </c>
      <c r="B383" t="s">
        <v>20</v>
      </c>
      <c r="C383" t="s">
        <v>33</v>
      </c>
      <c r="D383" t="s">
        <v>14</v>
      </c>
      <c r="E383">
        <v>60</v>
      </c>
      <c r="F383" s="4">
        <v>1120</v>
      </c>
      <c r="G383" s="9" t="s">
        <v>804</v>
      </c>
      <c r="H383" s="1">
        <v>45164</v>
      </c>
      <c r="I383" t="s">
        <v>17</v>
      </c>
      <c r="J383" t="s">
        <v>805</v>
      </c>
      <c r="K383" t="s">
        <v>32</v>
      </c>
      <c r="L383" s="3">
        <f t="shared" si="10"/>
        <v>22277</v>
      </c>
      <c r="M383" s="3">
        <f t="shared" si="11"/>
        <v>19.890178571428571</v>
      </c>
    </row>
    <row r="384" spans="1:13" x14ac:dyDescent="0.35">
      <c r="A384" t="s">
        <v>86</v>
      </c>
      <c r="B384" t="s">
        <v>59</v>
      </c>
      <c r="C384" t="s">
        <v>21</v>
      </c>
      <c r="D384" t="s">
        <v>28</v>
      </c>
      <c r="E384" t="s">
        <v>43</v>
      </c>
      <c r="F384" s="4">
        <v>323</v>
      </c>
      <c r="G384" s="9" t="s">
        <v>806</v>
      </c>
      <c r="H384" s="1">
        <v>45164</v>
      </c>
      <c r="I384" t="s">
        <v>48</v>
      </c>
      <c r="J384" t="s">
        <v>807</v>
      </c>
      <c r="K384" t="s">
        <v>52</v>
      </c>
      <c r="L384" s="3">
        <f t="shared" si="10"/>
        <v>22108</v>
      </c>
      <c r="M384" s="3">
        <f t="shared" si="11"/>
        <v>68.445820433436538</v>
      </c>
    </row>
    <row r="385" spans="1:13" x14ac:dyDescent="0.35">
      <c r="A385" t="s">
        <v>26</v>
      </c>
      <c r="B385" t="s">
        <v>20</v>
      </c>
      <c r="C385" t="s">
        <v>27</v>
      </c>
      <c r="D385" t="s">
        <v>22</v>
      </c>
      <c r="E385">
        <v>30</v>
      </c>
      <c r="F385" s="4">
        <v>1394</v>
      </c>
      <c r="G385" s="9" t="s">
        <v>808</v>
      </c>
      <c r="H385" s="1">
        <v>45192</v>
      </c>
      <c r="I385" t="s">
        <v>17</v>
      </c>
      <c r="J385" t="s">
        <v>809</v>
      </c>
      <c r="K385" t="s">
        <v>52</v>
      </c>
      <c r="L385" s="3">
        <f t="shared" si="10"/>
        <v>45719</v>
      </c>
      <c r="M385" s="3">
        <f t="shared" si="11"/>
        <v>32.796987087517934</v>
      </c>
    </row>
    <row r="386" spans="1:13" x14ac:dyDescent="0.35">
      <c r="A386" t="s">
        <v>11</v>
      </c>
      <c r="B386" t="s">
        <v>40</v>
      </c>
      <c r="C386" t="s">
        <v>77</v>
      </c>
      <c r="D386" t="s">
        <v>89</v>
      </c>
      <c r="E386">
        <v>30</v>
      </c>
      <c r="F386" s="4">
        <v>515</v>
      </c>
      <c r="G386" s="9" t="s">
        <v>810</v>
      </c>
      <c r="H386" s="1">
        <v>45379</v>
      </c>
      <c r="I386" t="s">
        <v>45</v>
      </c>
      <c r="J386" t="s">
        <v>811</v>
      </c>
      <c r="K386" t="s">
        <v>52</v>
      </c>
      <c r="L386" s="3">
        <f t="shared" ref="L386:L449" si="12">VALUE(SUBSTITUTE(G386,"$",""))</f>
        <v>10882</v>
      </c>
      <c r="M386" s="3">
        <f t="shared" si="11"/>
        <v>21.13009708737864</v>
      </c>
    </row>
    <row r="387" spans="1:13" x14ac:dyDescent="0.35">
      <c r="A387" t="s">
        <v>86</v>
      </c>
      <c r="B387" t="s">
        <v>59</v>
      </c>
      <c r="C387" t="s">
        <v>27</v>
      </c>
      <c r="D387" t="s">
        <v>28</v>
      </c>
      <c r="E387" t="s">
        <v>43</v>
      </c>
      <c r="F387" s="4">
        <v>1729</v>
      </c>
      <c r="G387" s="9" t="s">
        <v>812</v>
      </c>
      <c r="H387" s="1">
        <v>45342</v>
      </c>
      <c r="I387" t="s">
        <v>45</v>
      </c>
      <c r="J387" t="s">
        <v>813</v>
      </c>
      <c r="K387" t="s">
        <v>56</v>
      </c>
      <c r="L387" s="3">
        <f t="shared" si="12"/>
        <v>26352</v>
      </c>
      <c r="M387" s="3">
        <f t="shared" ref="M387:M450" si="13">VALUE(SUBSTITUTE(SUBSTITUTE(G387,"$",""),",",""))/F387</f>
        <v>15.241179872758821</v>
      </c>
    </row>
    <row r="388" spans="1:13" x14ac:dyDescent="0.35">
      <c r="A388" t="s">
        <v>26</v>
      </c>
      <c r="B388" t="s">
        <v>20</v>
      </c>
      <c r="C388" t="s">
        <v>27</v>
      </c>
      <c r="D388" t="s">
        <v>28</v>
      </c>
      <c r="E388">
        <v>30</v>
      </c>
      <c r="F388" s="4">
        <v>1208</v>
      </c>
      <c r="G388" s="9" t="s">
        <v>814</v>
      </c>
      <c r="H388" s="1">
        <v>45361</v>
      </c>
      <c r="I388" t="s">
        <v>17</v>
      </c>
      <c r="J388" t="s">
        <v>815</v>
      </c>
      <c r="K388" t="s">
        <v>56</v>
      </c>
      <c r="L388" s="3">
        <f t="shared" si="12"/>
        <v>39952</v>
      </c>
      <c r="M388" s="3">
        <f t="shared" si="13"/>
        <v>33.072847682119203</v>
      </c>
    </row>
    <row r="389" spans="1:13" x14ac:dyDescent="0.35">
      <c r="A389" t="s">
        <v>86</v>
      </c>
      <c r="B389" t="s">
        <v>20</v>
      </c>
      <c r="C389" t="s">
        <v>77</v>
      </c>
      <c r="D389" t="s">
        <v>34</v>
      </c>
      <c r="E389">
        <v>30</v>
      </c>
      <c r="F389" s="4">
        <v>1657</v>
      </c>
      <c r="G389" s="9" t="s">
        <v>816</v>
      </c>
      <c r="H389" s="1">
        <v>45379</v>
      </c>
      <c r="I389" t="s">
        <v>30</v>
      </c>
      <c r="J389" t="s">
        <v>817</v>
      </c>
      <c r="K389" t="s">
        <v>19</v>
      </c>
      <c r="L389" s="3">
        <f t="shared" si="12"/>
        <v>21133</v>
      </c>
      <c r="M389" s="3">
        <f t="shared" si="13"/>
        <v>12.753771876885938</v>
      </c>
    </row>
    <row r="390" spans="1:13" x14ac:dyDescent="0.35">
      <c r="A390" t="s">
        <v>53</v>
      </c>
      <c r="B390" t="s">
        <v>12</v>
      </c>
      <c r="C390" t="s">
        <v>77</v>
      </c>
      <c r="D390" t="s">
        <v>22</v>
      </c>
      <c r="E390">
        <v>60</v>
      </c>
      <c r="F390" s="4">
        <v>1572</v>
      </c>
      <c r="G390" s="9" t="s">
        <v>818</v>
      </c>
      <c r="H390" s="1">
        <v>45217</v>
      </c>
      <c r="I390" t="s">
        <v>48</v>
      </c>
      <c r="J390" t="s">
        <v>819</v>
      </c>
      <c r="K390" t="s">
        <v>38</v>
      </c>
      <c r="L390" s="3">
        <f t="shared" si="12"/>
        <v>46966</v>
      </c>
      <c r="M390" s="3">
        <f t="shared" si="13"/>
        <v>29.876590330788805</v>
      </c>
    </row>
    <row r="391" spans="1:13" x14ac:dyDescent="0.35">
      <c r="A391" t="s">
        <v>53</v>
      </c>
      <c r="B391" t="s">
        <v>59</v>
      </c>
      <c r="C391" t="s">
        <v>33</v>
      </c>
      <c r="D391" t="s">
        <v>22</v>
      </c>
      <c r="E391">
        <v>60</v>
      </c>
      <c r="F391" s="4">
        <v>901</v>
      </c>
      <c r="G391" s="9" t="s">
        <v>820</v>
      </c>
      <c r="H391" s="1">
        <v>45224</v>
      </c>
      <c r="I391" t="s">
        <v>30</v>
      </c>
      <c r="J391" t="s">
        <v>821</v>
      </c>
      <c r="K391" t="s">
        <v>19</v>
      </c>
      <c r="L391" s="3">
        <f t="shared" si="12"/>
        <v>37255</v>
      </c>
      <c r="M391" s="3">
        <f t="shared" si="13"/>
        <v>41.348501664816872</v>
      </c>
    </row>
    <row r="392" spans="1:13" x14ac:dyDescent="0.35">
      <c r="A392" t="s">
        <v>39</v>
      </c>
      <c r="B392" t="s">
        <v>20</v>
      </c>
      <c r="C392" t="s">
        <v>33</v>
      </c>
      <c r="D392" t="s">
        <v>14</v>
      </c>
      <c r="E392" t="s">
        <v>23</v>
      </c>
      <c r="F392" s="4">
        <v>814</v>
      </c>
      <c r="G392" s="9" t="s">
        <v>708</v>
      </c>
      <c r="H392" s="1">
        <v>45330</v>
      </c>
      <c r="I392" t="s">
        <v>36</v>
      </c>
      <c r="J392" t="s">
        <v>822</v>
      </c>
      <c r="K392" t="s">
        <v>56</v>
      </c>
      <c r="L392" s="3">
        <f t="shared" si="12"/>
        <v>11345</v>
      </c>
      <c r="M392" s="3">
        <f t="shared" si="13"/>
        <v>13.937346437346438</v>
      </c>
    </row>
    <row r="393" spans="1:13" x14ac:dyDescent="0.35">
      <c r="A393" t="s">
        <v>26</v>
      </c>
      <c r="B393" t="s">
        <v>20</v>
      </c>
      <c r="C393" t="s">
        <v>33</v>
      </c>
      <c r="D393" t="s">
        <v>28</v>
      </c>
      <c r="E393" t="s">
        <v>43</v>
      </c>
      <c r="F393" s="4">
        <v>1124</v>
      </c>
      <c r="G393" s="9" t="s">
        <v>823</v>
      </c>
      <c r="H393" s="1">
        <v>45290</v>
      </c>
      <c r="I393" t="s">
        <v>17</v>
      </c>
      <c r="J393" t="s">
        <v>55</v>
      </c>
      <c r="K393" t="s">
        <v>52</v>
      </c>
      <c r="L393" s="3">
        <f t="shared" si="12"/>
        <v>18402</v>
      </c>
      <c r="M393" s="3">
        <f t="shared" si="13"/>
        <v>16.371886120996443</v>
      </c>
    </row>
    <row r="394" spans="1:13" x14ac:dyDescent="0.35">
      <c r="A394" t="s">
        <v>11</v>
      </c>
      <c r="B394" t="s">
        <v>20</v>
      </c>
      <c r="C394" t="s">
        <v>33</v>
      </c>
      <c r="D394" t="s">
        <v>89</v>
      </c>
      <c r="E394" t="s">
        <v>23</v>
      </c>
      <c r="F394" s="4">
        <v>1609</v>
      </c>
      <c r="G394" s="9" t="s">
        <v>824</v>
      </c>
      <c r="H394" s="1">
        <v>45470</v>
      </c>
      <c r="I394" t="s">
        <v>36</v>
      </c>
      <c r="J394" t="s">
        <v>825</v>
      </c>
      <c r="K394" t="s">
        <v>52</v>
      </c>
      <c r="L394" s="3">
        <f t="shared" si="12"/>
        <v>12823</v>
      </c>
      <c r="M394" s="3">
        <f t="shared" si="13"/>
        <v>7.9695463020509631</v>
      </c>
    </row>
    <row r="395" spans="1:13" x14ac:dyDescent="0.35">
      <c r="A395" t="s">
        <v>26</v>
      </c>
      <c r="B395" t="s">
        <v>20</v>
      </c>
      <c r="C395" t="s">
        <v>33</v>
      </c>
      <c r="D395" t="s">
        <v>89</v>
      </c>
      <c r="E395" t="s">
        <v>15</v>
      </c>
      <c r="F395" s="4">
        <v>846</v>
      </c>
      <c r="G395" s="9" t="s">
        <v>826</v>
      </c>
      <c r="H395" s="1">
        <v>45342</v>
      </c>
      <c r="I395" t="s">
        <v>17</v>
      </c>
      <c r="J395" t="s">
        <v>827</v>
      </c>
      <c r="K395" t="s">
        <v>19</v>
      </c>
      <c r="L395" s="3">
        <f t="shared" si="12"/>
        <v>39016</v>
      </c>
      <c r="M395" s="3">
        <f t="shared" si="13"/>
        <v>46.118203309692674</v>
      </c>
    </row>
    <row r="396" spans="1:13" x14ac:dyDescent="0.35">
      <c r="A396" t="s">
        <v>53</v>
      </c>
      <c r="B396" t="s">
        <v>40</v>
      </c>
      <c r="C396" t="s">
        <v>21</v>
      </c>
      <c r="D396" t="s">
        <v>89</v>
      </c>
      <c r="E396" t="s">
        <v>15</v>
      </c>
      <c r="F396" s="4">
        <v>859</v>
      </c>
      <c r="G396" s="9" t="s">
        <v>828</v>
      </c>
      <c r="H396" s="1">
        <v>45167</v>
      </c>
      <c r="I396" t="s">
        <v>30</v>
      </c>
      <c r="J396" t="s">
        <v>829</v>
      </c>
      <c r="K396" t="s">
        <v>52</v>
      </c>
      <c r="L396" s="3">
        <f t="shared" si="12"/>
        <v>49397</v>
      </c>
      <c r="M396" s="3">
        <f t="shared" si="13"/>
        <v>57.505238649592549</v>
      </c>
    </row>
    <row r="397" spans="1:13" x14ac:dyDescent="0.35">
      <c r="A397" t="s">
        <v>26</v>
      </c>
      <c r="B397" t="s">
        <v>40</v>
      </c>
      <c r="C397" t="s">
        <v>13</v>
      </c>
      <c r="D397" t="s">
        <v>89</v>
      </c>
      <c r="E397" t="s">
        <v>43</v>
      </c>
      <c r="F397" s="4">
        <v>389</v>
      </c>
      <c r="G397" s="9" t="s">
        <v>830</v>
      </c>
      <c r="H397" s="1">
        <v>45422</v>
      </c>
      <c r="I397" t="s">
        <v>36</v>
      </c>
      <c r="J397" t="s">
        <v>831</v>
      </c>
      <c r="K397" t="s">
        <v>32</v>
      </c>
      <c r="L397" s="3">
        <f t="shared" si="12"/>
        <v>3098</v>
      </c>
      <c r="M397" s="3">
        <f t="shared" si="13"/>
        <v>7.9640102827763499</v>
      </c>
    </row>
    <row r="398" spans="1:13" x14ac:dyDescent="0.35">
      <c r="A398" t="s">
        <v>11</v>
      </c>
      <c r="B398" t="s">
        <v>62</v>
      </c>
      <c r="C398" t="s">
        <v>33</v>
      </c>
      <c r="D398" t="s">
        <v>22</v>
      </c>
      <c r="E398">
        <v>60</v>
      </c>
      <c r="F398" s="4">
        <v>1964</v>
      </c>
      <c r="G398" s="9" t="s">
        <v>832</v>
      </c>
      <c r="H398" s="1">
        <v>45254</v>
      </c>
      <c r="I398" t="s">
        <v>17</v>
      </c>
      <c r="J398" t="s">
        <v>461</v>
      </c>
      <c r="K398" t="s">
        <v>19</v>
      </c>
      <c r="L398" s="3">
        <f t="shared" si="12"/>
        <v>38375</v>
      </c>
      <c r="M398" s="3">
        <f t="shared" si="13"/>
        <v>19.539205702647656</v>
      </c>
    </row>
    <row r="399" spans="1:13" x14ac:dyDescent="0.35">
      <c r="A399" t="s">
        <v>53</v>
      </c>
      <c r="B399" t="s">
        <v>59</v>
      </c>
      <c r="C399" t="s">
        <v>33</v>
      </c>
      <c r="D399" t="s">
        <v>14</v>
      </c>
      <c r="E399">
        <v>60</v>
      </c>
      <c r="F399" s="4">
        <v>764</v>
      </c>
      <c r="G399" s="9" t="s">
        <v>833</v>
      </c>
      <c r="H399" s="1">
        <v>45163</v>
      </c>
      <c r="I399" t="s">
        <v>48</v>
      </c>
      <c r="J399" t="s">
        <v>834</v>
      </c>
      <c r="K399" t="s">
        <v>32</v>
      </c>
      <c r="L399" s="3">
        <f t="shared" si="12"/>
        <v>2858</v>
      </c>
      <c r="M399" s="3">
        <f t="shared" si="13"/>
        <v>3.7408376963350785</v>
      </c>
    </row>
    <row r="400" spans="1:13" x14ac:dyDescent="0.35">
      <c r="A400" t="s">
        <v>86</v>
      </c>
      <c r="B400" t="s">
        <v>59</v>
      </c>
      <c r="C400" t="s">
        <v>77</v>
      </c>
      <c r="D400" t="s">
        <v>22</v>
      </c>
      <c r="E400">
        <v>30</v>
      </c>
      <c r="F400" s="4">
        <v>1326</v>
      </c>
      <c r="G400" s="9" t="s">
        <v>835</v>
      </c>
      <c r="H400" s="1">
        <v>45454</v>
      </c>
      <c r="I400" t="s">
        <v>48</v>
      </c>
      <c r="J400" t="s">
        <v>836</v>
      </c>
      <c r="K400" t="s">
        <v>19</v>
      </c>
      <c r="L400" s="3">
        <f t="shared" si="12"/>
        <v>20696</v>
      </c>
      <c r="M400" s="3">
        <f t="shared" si="13"/>
        <v>15.607843137254902</v>
      </c>
    </row>
    <row r="401" spans="1:13" x14ac:dyDescent="0.35">
      <c r="A401" t="s">
        <v>26</v>
      </c>
      <c r="B401" t="s">
        <v>62</v>
      </c>
      <c r="C401" t="s">
        <v>21</v>
      </c>
      <c r="D401" t="s">
        <v>28</v>
      </c>
      <c r="E401" t="s">
        <v>15</v>
      </c>
      <c r="F401" s="4">
        <v>229</v>
      </c>
      <c r="G401" s="9" t="s">
        <v>837</v>
      </c>
      <c r="H401" s="1">
        <v>45363</v>
      </c>
      <c r="I401" t="s">
        <v>36</v>
      </c>
      <c r="J401" t="s">
        <v>838</v>
      </c>
      <c r="K401" t="s">
        <v>19</v>
      </c>
      <c r="L401" s="3">
        <f t="shared" si="12"/>
        <v>17960</v>
      </c>
      <c r="M401" s="3">
        <f t="shared" si="13"/>
        <v>78.427947598253269</v>
      </c>
    </row>
    <row r="402" spans="1:13" x14ac:dyDescent="0.35">
      <c r="A402" t="s">
        <v>26</v>
      </c>
      <c r="B402" t="s">
        <v>40</v>
      </c>
      <c r="C402" t="s">
        <v>13</v>
      </c>
      <c r="D402" t="s">
        <v>28</v>
      </c>
      <c r="E402" t="s">
        <v>43</v>
      </c>
      <c r="F402" s="4">
        <v>1201</v>
      </c>
      <c r="G402" s="9" t="s">
        <v>839</v>
      </c>
      <c r="H402" s="1">
        <v>45387</v>
      </c>
      <c r="I402" t="s">
        <v>17</v>
      </c>
      <c r="J402" t="s">
        <v>840</v>
      </c>
      <c r="K402" t="s">
        <v>19</v>
      </c>
      <c r="L402" s="3">
        <f t="shared" si="12"/>
        <v>15965</v>
      </c>
      <c r="M402" s="3">
        <f t="shared" si="13"/>
        <v>13.293089092422981</v>
      </c>
    </row>
    <row r="403" spans="1:13" x14ac:dyDescent="0.35">
      <c r="A403" t="s">
        <v>11</v>
      </c>
      <c r="B403" t="s">
        <v>40</v>
      </c>
      <c r="C403" t="s">
        <v>13</v>
      </c>
      <c r="D403" t="s">
        <v>22</v>
      </c>
      <c r="E403">
        <v>60</v>
      </c>
      <c r="F403" s="4">
        <v>498</v>
      </c>
      <c r="G403" s="9" t="s">
        <v>841</v>
      </c>
      <c r="H403" s="1">
        <v>45382</v>
      </c>
      <c r="I403" t="s">
        <v>17</v>
      </c>
      <c r="J403" t="s">
        <v>842</v>
      </c>
      <c r="K403" t="s">
        <v>19</v>
      </c>
      <c r="L403" s="3">
        <f t="shared" si="12"/>
        <v>17227</v>
      </c>
      <c r="M403" s="3">
        <f t="shared" si="13"/>
        <v>34.592369477911646</v>
      </c>
    </row>
    <row r="404" spans="1:13" x14ac:dyDescent="0.35">
      <c r="A404" t="s">
        <v>26</v>
      </c>
      <c r="B404" t="s">
        <v>12</v>
      </c>
      <c r="C404" t="s">
        <v>27</v>
      </c>
      <c r="D404" t="s">
        <v>22</v>
      </c>
      <c r="E404">
        <v>60</v>
      </c>
      <c r="F404" s="4">
        <v>1171</v>
      </c>
      <c r="G404" s="9" t="s">
        <v>843</v>
      </c>
      <c r="H404" s="1">
        <v>45202</v>
      </c>
      <c r="I404" t="s">
        <v>36</v>
      </c>
      <c r="J404" t="s">
        <v>844</v>
      </c>
      <c r="K404" t="s">
        <v>38</v>
      </c>
      <c r="L404" s="3">
        <f t="shared" si="12"/>
        <v>1301</v>
      </c>
      <c r="M404" s="3">
        <f t="shared" si="13"/>
        <v>1.1110162254483347</v>
      </c>
    </row>
    <row r="405" spans="1:13" x14ac:dyDescent="0.35">
      <c r="A405" t="s">
        <v>86</v>
      </c>
      <c r="B405" t="s">
        <v>59</v>
      </c>
      <c r="C405" t="s">
        <v>33</v>
      </c>
      <c r="D405" t="s">
        <v>34</v>
      </c>
      <c r="E405">
        <v>30</v>
      </c>
      <c r="F405" s="4">
        <v>429</v>
      </c>
      <c r="G405" s="9" t="s">
        <v>845</v>
      </c>
      <c r="H405" s="1">
        <v>45442</v>
      </c>
      <c r="I405" t="s">
        <v>45</v>
      </c>
      <c r="J405" t="s">
        <v>846</v>
      </c>
      <c r="K405" t="s">
        <v>56</v>
      </c>
      <c r="L405" s="3">
        <f t="shared" si="12"/>
        <v>1770</v>
      </c>
      <c r="M405" s="3">
        <f t="shared" si="13"/>
        <v>4.1258741258741258</v>
      </c>
    </row>
    <row r="406" spans="1:13" x14ac:dyDescent="0.35">
      <c r="A406" t="s">
        <v>53</v>
      </c>
      <c r="B406" t="s">
        <v>62</v>
      </c>
      <c r="C406" t="s">
        <v>27</v>
      </c>
      <c r="D406" t="s">
        <v>28</v>
      </c>
      <c r="E406">
        <v>60</v>
      </c>
      <c r="F406" s="4">
        <v>149</v>
      </c>
      <c r="G406" s="9" t="s">
        <v>847</v>
      </c>
      <c r="H406" s="1">
        <v>45497</v>
      </c>
      <c r="I406" t="s">
        <v>36</v>
      </c>
      <c r="J406" t="s">
        <v>848</v>
      </c>
      <c r="K406" t="s">
        <v>52</v>
      </c>
      <c r="L406" s="3">
        <f t="shared" si="12"/>
        <v>24712</v>
      </c>
      <c r="M406" s="3">
        <f t="shared" si="13"/>
        <v>165.85234899328859</v>
      </c>
    </row>
    <row r="407" spans="1:13" x14ac:dyDescent="0.35">
      <c r="A407" t="s">
        <v>11</v>
      </c>
      <c r="B407" t="s">
        <v>59</v>
      </c>
      <c r="C407" t="s">
        <v>21</v>
      </c>
      <c r="D407" t="s">
        <v>89</v>
      </c>
      <c r="E407">
        <v>60</v>
      </c>
      <c r="F407" s="4">
        <v>832</v>
      </c>
      <c r="G407" s="9" t="s">
        <v>849</v>
      </c>
      <c r="H407" s="1">
        <v>45401</v>
      </c>
      <c r="I407" t="s">
        <v>17</v>
      </c>
      <c r="J407" t="s">
        <v>850</v>
      </c>
      <c r="K407" t="s">
        <v>52</v>
      </c>
      <c r="L407" s="3">
        <f t="shared" si="12"/>
        <v>41916</v>
      </c>
      <c r="M407" s="3">
        <f t="shared" si="13"/>
        <v>50.379807692307693</v>
      </c>
    </row>
    <row r="408" spans="1:13" x14ac:dyDescent="0.35">
      <c r="A408" t="s">
        <v>39</v>
      </c>
      <c r="B408" t="s">
        <v>20</v>
      </c>
      <c r="C408" t="s">
        <v>77</v>
      </c>
      <c r="D408" t="s">
        <v>22</v>
      </c>
      <c r="E408" t="s">
        <v>15</v>
      </c>
      <c r="F408" s="4">
        <v>324</v>
      </c>
      <c r="G408" s="9" t="s">
        <v>851</v>
      </c>
      <c r="H408" s="1">
        <v>45154</v>
      </c>
      <c r="I408" t="s">
        <v>30</v>
      </c>
      <c r="J408" t="s">
        <v>852</v>
      </c>
      <c r="K408" t="s">
        <v>19</v>
      </c>
      <c r="L408" s="3">
        <f t="shared" si="12"/>
        <v>40529</v>
      </c>
      <c r="M408" s="3">
        <f t="shared" si="13"/>
        <v>125.08950617283951</v>
      </c>
    </row>
    <row r="409" spans="1:13" x14ac:dyDescent="0.35">
      <c r="A409" t="s">
        <v>26</v>
      </c>
      <c r="B409" t="s">
        <v>59</v>
      </c>
      <c r="C409" t="s">
        <v>27</v>
      </c>
      <c r="D409" t="s">
        <v>22</v>
      </c>
      <c r="E409" t="s">
        <v>43</v>
      </c>
      <c r="F409" s="4">
        <v>244</v>
      </c>
      <c r="G409" s="9" t="s">
        <v>853</v>
      </c>
      <c r="H409" s="1">
        <v>45396</v>
      </c>
      <c r="I409" t="s">
        <v>17</v>
      </c>
      <c r="J409" t="s">
        <v>854</v>
      </c>
      <c r="K409" t="s">
        <v>19</v>
      </c>
      <c r="L409" s="3">
        <f t="shared" si="12"/>
        <v>34645</v>
      </c>
      <c r="M409" s="3">
        <f t="shared" si="13"/>
        <v>141.98770491803279</v>
      </c>
    </row>
    <row r="410" spans="1:13" x14ac:dyDescent="0.35">
      <c r="A410" t="s">
        <v>26</v>
      </c>
      <c r="B410" t="s">
        <v>62</v>
      </c>
      <c r="C410" t="s">
        <v>77</v>
      </c>
      <c r="D410" t="s">
        <v>28</v>
      </c>
      <c r="E410">
        <v>60</v>
      </c>
      <c r="F410" s="4">
        <v>298</v>
      </c>
      <c r="G410" s="9" t="s">
        <v>855</v>
      </c>
      <c r="H410" s="1">
        <v>45247</v>
      </c>
      <c r="I410" t="s">
        <v>45</v>
      </c>
      <c r="J410" t="s">
        <v>856</v>
      </c>
      <c r="K410" t="s">
        <v>56</v>
      </c>
      <c r="L410" s="3">
        <f t="shared" si="12"/>
        <v>26167</v>
      </c>
      <c r="M410" s="3">
        <f t="shared" si="13"/>
        <v>87.808724832214764</v>
      </c>
    </row>
    <row r="411" spans="1:13" x14ac:dyDescent="0.35">
      <c r="A411" t="s">
        <v>26</v>
      </c>
      <c r="B411" t="s">
        <v>20</v>
      </c>
      <c r="C411" t="s">
        <v>77</v>
      </c>
      <c r="D411" t="s">
        <v>14</v>
      </c>
      <c r="E411">
        <v>30</v>
      </c>
      <c r="F411" s="4">
        <v>1148</v>
      </c>
      <c r="G411" s="9" t="s">
        <v>857</v>
      </c>
      <c r="H411" s="1">
        <v>45282</v>
      </c>
      <c r="I411" t="s">
        <v>45</v>
      </c>
      <c r="J411" t="s">
        <v>858</v>
      </c>
      <c r="K411" t="s">
        <v>19</v>
      </c>
      <c r="L411" s="3">
        <f t="shared" si="12"/>
        <v>49962</v>
      </c>
      <c r="M411" s="3">
        <f t="shared" si="13"/>
        <v>43.520905923344948</v>
      </c>
    </row>
    <row r="412" spans="1:13" x14ac:dyDescent="0.35">
      <c r="A412" t="s">
        <v>26</v>
      </c>
      <c r="B412" t="s">
        <v>62</v>
      </c>
      <c r="C412" t="s">
        <v>77</v>
      </c>
      <c r="D412" t="s">
        <v>89</v>
      </c>
      <c r="E412">
        <v>60</v>
      </c>
      <c r="F412" s="4">
        <v>1090</v>
      </c>
      <c r="G412" s="9" t="s">
        <v>859</v>
      </c>
      <c r="H412" s="1">
        <v>45291</v>
      </c>
      <c r="I412" t="s">
        <v>30</v>
      </c>
      <c r="J412" t="s">
        <v>860</v>
      </c>
      <c r="K412" t="s">
        <v>38</v>
      </c>
      <c r="L412" s="3">
        <f t="shared" si="12"/>
        <v>1972</v>
      </c>
      <c r="M412" s="3">
        <f t="shared" si="13"/>
        <v>1.8091743119266055</v>
      </c>
    </row>
    <row r="413" spans="1:13" x14ac:dyDescent="0.35">
      <c r="A413" t="s">
        <v>11</v>
      </c>
      <c r="B413" t="s">
        <v>40</v>
      </c>
      <c r="C413" t="s">
        <v>33</v>
      </c>
      <c r="D413" t="s">
        <v>14</v>
      </c>
      <c r="E413" t="s">
        <v>23</v>
      </c>
      <c r="F413" s="4">
        <v>1944</v>
      </c>
      <c r="G413" s="9" t="s">
        <v>861</v>
      </c>
      <c r="H413" s="1">
        <v>45413</v>
      </c>
      <c r="I413" t="s">
        <v>45</v>
      </c>
      <c r="J413" t="s">
        <v>862</v>
      </c>
      <c r="K413" t="s">
        <v>38</v>
      </c>
      <c r="L413" s="3">
        <f t="shared" si="12"/>
        <v>26394</v>
      </c>
      <c r="M413" s="3">
        <f t="shared" si="13"/>
        <v>13.57716049382716</v>
      </c>
    </row>
    <row r="414" spans="1:13" x14ac:dyDescent="0.35">
      <c r="A414" t="s">
        <v>26</v>
      </c>
      <c r="B414" t="s">
        <v>62</v>
      </c>
      <c r="C414" t="s">
        <v>33</v>
      </c>
      <c r="D414" t="s">
        <v>34</v>
      </c>
      <c r="E414">
        <v>30</v>
      </c>
      <c r="F414" s="4">
        <v>835</v>
      </c>
      <c r="G414" s="9" t="s">
        <v>863</v>
      </c>
      <c r="H414" s="1">
        <v>45466</v>
      </c>
      <c r="I414" t="s">
        <v>30</v>
      </c>
      <c r="J414" t="s">
        <v>864</v>
      </c>
      <c r="K414" t="s">
        <v>56</v>
      </c>
      <c r="L414" s="3">
        <f t="shared" si="12"/>
        <v>30738</v>
      </c>
      <c r="M414" s="3">
        <f t="shared" si="13"/>
        <v>36.811976047904189</v>
      </c>
    </row>
    <row r="415" spans="1:13" x14ac:dyDescent="0.35">
      <c r="A415" t="s">
        <v>53</v>
      </c>
      <c r="B415" t="s">
        <v>40</v>
      </c>
      <c r="C415" t="s">
        <v>33</v>
      </c>
      <c r="D415" t="s">
        <v>34</v>
      </c>
      <c r="E415" t="s">
        <v>23</v>
      </c>
      <c r="F415" s="4">
        <v>1156</v>
      </c>
      <c r="G415" s="9" t="s">
        <v>865</v>
      </c>
      <c r="H415" s="1">
        <v>45396</v>
      </c>
      <c r="I415" t="s">
        <v>45</v>
      </c>
      <c r="J415" t="s">
        <v>866</v>
      </c>
      <c r="K415" t="s">
        <v>38</v>
      </c>
      <c r="L415" s="3">
        <f t="shared" si="12"/>
        <v>38835</v>
      </c>
      <c r="M415" s="3">
        <f t="shared" si="13"/>
        <v>33.594290657439444</v>
      </c>
    </row>
    <row r="416" spans="1:13" x14ac:dyDescent="0.35">
      <c r="A416" t="s">
        <v>39</v>
      </c>
      <c r="B416" t="s">
        <v>62</v>
      </c>
      <c r="C416" t="s">
        <v>21</v>
      </c>
      <c r="D416" t="s">
        <v>22</v>
      </c>
      <c r="E416">
        <v>60</v>
      </c>
      <c r="F416" s="4">
        <v>728</v>
      </c>
      <c r="G416" s="9" t="s">
        <v>867</v>
      </c>
      <c r="H416" s="1">
        <v>45299</v>
      </c>
      <c r="I416" t="s">
        <v>36</v>
      </c>
      <c r="J416" t="s">
        <v>868</v>
      </c>
      <c r="K416" t="s">
        <v>38</v>
      </c>
      <c r="L416" s="3">
        <f t="shared" si="12"/>
        <v>11807</v>
      </c>
      <c r="M416" s="3">
        <f t="shared" si="13"/>
        <v>16.218406593406595</v>
      </c>
    </row>
    <row r="417" spans="1:13" x14ac:dyDescent="0.35">
      <c r="A417" t="s">
        <v>26</v>
      </c>
      <c r="B417" t="s">
        <v>62</v>
      </c>
      <c r="C417" t="s">
        <v>77</v>
      </c>
      <c r="D417" t="s">
        <v>89</v>
      </c>
      <c r="E417" t="s">
        <v>23</v>
      </c>
      <c r="F417" s="4">
        <v>1706</v>
      </c>
      <c r="G417" s="9" t="s">
        <v>869</v>
      </c>
      <c r="H417" s="1">
        <v>45238</v>
      </c>
      <c r="I417" t="s">
        <v>17</v>
      </c>
      <c r="J417" t="s">
        <v>870</v>
      </c>
      <c r="K417" t="s">
        <v>52</v>
      </c>
      <c r="L417" s="3">
        <f t="shared" si="12"/>
        <v>30997</v>
      </c>
      <c r="M417" s="3">
        <f t="shared" si="13"/>
        <v>18.169402110199297</v>
      </c>
    </row>
    <row r="418" spans="1:13" x14ac:dyDescent="0.35">
      <c r="A418" t="s">
        <v>11</v>
      </c>
      <c r="B418" t="s">
        <v>12</v>
      </c>
      <c r="C418" t="s">
        <v>21</v>
      </c>
      <c r="D418" t="s">
        <v>34</v>
      </c>
      <c r="E418">
        <v>60</v>
      </c>
      <c r="F418" s="4">
        <v>1281</v>
      </c>
      <c r="G418" s="9" t="s">
        <v>871</v>
      </c>
      <c r="H418" s="1">
        <v>45476</v>
      </c>
      <c r="I418" t="s">
        <v>45</v>
      </c>
      <c r="J418" t="s">
        <v>872</v>
      </c>
      <c r="K418" t="s">
        <v>19</v>
      </c>
      <c r="L418" s="3">
        <f t="shared" si="12"/>
        <v>18807</v>
      </c>
      <c r="M418" s="3">
        <f t="shared" si="13"/>
        <v>14.681498829039812</v>
      </c>
    </row>
    <row r="419" spans="1:13" x14ac:dyDescent="0.35">
      <c r="A419" t="s">
        <v>53</v>
      </c>
      <c r="B419" t="s">
        <v>62</v>
      </c>
      <c r="C419" t="s">
        <v>27</v>
      </c>
      <c r="D419" t="s">
        <v>14</v>
      </c>
      <c r="E419">
        <v>30</v>
      </c>
      <c r="F419" s="4">
        <v>1507</v>
      </c>
      <c r="G419" s="9" t="s">
        <v>873</v>
      </c>
      <c r="H419" s="1">
        <v>45424</v>
      </c>
      <c r="I419" t="s">
        <v>48</v>
      </c>
      <c r="J419" t="s">
        <v>874</v>
      </c>
      <c r="K419" t="s">
        <v>38</v>
      </c>
      <c r="L419" s="3">
        <f t="shared" si="12"/>
        <v>30246</v>
      </c>
      <c r="M419" s="3">
        <f t="shared" si="13"/>
        <v>20.070338420703383</v>
      </c>
    </row>
    <row r="420" spans="1:13" x14ac:dyDescent="0.35">
      <c r="A420" t="s">
        <v>39</v>
      </c>
      <c r="B420" t="s">
        <v>12</v>
      </c>
      <c r="C420" t="s">
        <v>21</v>
      </c>
      <c r="D420" t="s">
        <v>14</v>
      </c>
      <c r="E420" t="s">
        <v>43</v>
      </c>
      <c r="F420" s="4">
        <v>1337</v>
      </c>
      <c r="G420" s="9" t="s">
        <v>875</v>
      </c>
      <c r="H420" s="1">
        <v>45190</v>
      </c>
      <c r="I420" t="s">
        <v>45</v>
      </c>
      <c r="J420" t="s">
        <v>876</v>
      </c>
      <c r="K420" t="s">
        <v>38</v>
      </c>
      <c r="L420" s="3">
        <f t="shared" si="12"/>
        <v>1231</v>
      </c>
      <c r="M420" s="3">
        <f t="shared" si="13"/>
        <v>0.92071802543006731</v>
      </c>
    </row>
    <row r="421" spans="1:13" x14ac:dyDescent="0.35">
      <c r="A421" t="s">
        <v>26</v>
      </c>
      <c r="B421" t="s">
        <v>62</v>
      </c>
      <c r="C421" t="s">
        <v>27</v>
      </c>
      <c r="D421" t="s">
        <v>14</v>
      </c>
      <c r="E421">
        <v>60</v>
      </c>
      <c r="F421" s="4">
        <v>483</v>
      </c>
      <c r="G421" s="9" t="s">
        <v>877</v>
      </c>
      <c r="H421" s="1">
        <v>45394</v>
      </c>
      <c r="I421" t="s">
        <v>36</v>
      </c>
      <c r="J421" t="s">
        <v>878</v>
      </c>
      <c r="K421" t="s">
        <v>56</v>
      </c>
      <c r="L421" s="3">
        <f t="shared" si="12"/>
        <v>10434</v>
      </c>
      <c r="M421" s="3">
        <f t="shared" si="13"/>
        <v>21.602484472049689</v>
      </c>
    </row>
    <row r="422" spans="1:13" x14ac:dyDescent="0.35">
      <c r="A422" t="s">
        <v>26</v>
      </c>
      <c r="B422" t="s">
        <v>20</v>
      </c>
      <c r="C422" t="s">
        <v>33</v>
      </c>
      <c r="D422" t="s">
        <v>89</v>
      </c>
      <c r="E422" t="s">
        <v>15</v>
      </c>
      <c r="F422" s="4">
        <v>1562</v>
      </c>
      <c r="G422" s="9" t="s">
        <v>879</v>
      </c>
      <c r="H422" s="1">
        <v>45257</v>
      </c>
      <c r="I422" t="s">
        <v>45</v>
      </c>
      <c r="J422" t="s">
        <v>880</v>
      </c>
      <c r="K422" t="s">
        <v>56</v>
      </c>
      <c r="L422" s="3">
        <f t="shared" si="12"/>
        <v>4538</v>
      </c>
      <c r="M422" s="3">
        <f t="shared" si="13"/>
        <v>2.9052496798975671</v>
      </c>
    </row>
    <row r="423" spans="1:13" x14ac:dyDescent="0.35">
      <c r="A423" t="s">
        <v>53</v>
      </c>
      <c r="B423" t="s">
        <v>59</v>
      </c>
      <c r="C423" t="s">
        <v>77</v>
      </c>
      <c r="D423" t="s">
        <v>89</v>
      </c>
      <c r="E423" t="s">
        <v>15</v>
      </c>
      <c r="F423" s="4">
        <v>1893</v>
      </c>
      <c r="G423" s="9" t="s">
        <v>881</v>
      </c>
      <c r="H423" s="1">
        <v>45300</v>
      </c>
      <c r="I423" t="s">
        <v>30</v>
      </c>
      <c r="J423" t="s">
        <v>882</v>
      </c>
      <c r="K423" t="s">
        <v>19</v>
      </c>
      <c r="L423" s="3">
        <f t="shared" si="12"/>
        <v>10971</v>
      </c>
      <c r="M423" s="3">
        <f t="shared" si="13"/>
        <v>5.795562599049128</v>
      </c>
    </row>
    <row r="424" spans="1:13" x14ac:dyDescent="0.35">
      <c r="A424" t="s">
        <v>11</v>
      </c>
      <c r="B424" t="s">
        <v>20</v>
      </c>
      <c r="C424" t="s">
        <v>13</v>
      </c>
      <c r="D424" t="s">
        <v>34</v>
      </c>
      <c r="E424" t="s">
        <v>43</v>
      </c>
      <c r="F424" s="4">
        <v>368</v>
      </c>
      <c r="G424" s="9" t="s">
        <v>883</v>
      </c>
      <c r="H424" s="1">
        <v>45366</v>
      </c>
      <c r="I424" t="s">
        <v>36</v>
      </c>
      <c r="J424" t="s">
        <v>884</v>
      </c>
      <c r="K424" t="s">
        <v>32</v>
      </c>
      <c r="L424" s="3">
        <f t="shared" si="12"/>
        <v>16546</v>
      </c>
      <c r="M424" s="3">
        <f t="shared" si="13"/>
        <v>44.961956521739133</v>
      </c>
    </row>
    <row r="425" spans="1:13" x14ac:dyDescent="0.35">
      <c r="A425" t="s">
        <v>53</v>
      </c>
      <c r="B425" t="s">
        <v>62</v>
      </c>
      <c r="C425" t="s">
        <v>21</v>
      </c>
      <c r="D425" t="s">
        <v>28</v>
      </c>
      <c r="E425" t="s">
        <v>15</v>
      </c>
      <c r="F425" s="4">
        <v>1781</v>
      </c>
      <c r="G425" s="9" t="s">
        <v>885</v>
      </c>
      <c r="H425" s="1">
        <v>45321</v>
      </c>
      <c r="I425" t="s">
        <v>45</v>
      </c>
      <c r="J425" t="s">
        <v>886</v>
      </c>
      <c r="K425" t="s">
        <v>32</v>
      </c>
      <c r="L425" s="3">
        <f t="shared" si="12"/>
        <v>2138</v>
      </c>
      <c r="M425" s="3">
        <f t="shared" si="13"/>
        <v>1.2004491858506456</v>
      </c>
    </row>
    <row r="426" spans="1:13" x14ac:dyDescent="0.35">
      <c r="A426" t="s">
        <v>86</v>
      </c>
      <c r="B426" t="s">
        <v>20</v>
      </c>
      <c r="C426" t="s">
        <v>33</v>
      </c>
      <c r="D426" t="s">
        <v>89</v>
      </c>
      <c r="E426">
        <v>30</v>
      </c>
      <c r="F426" s="4">
        <v>440</v>
      </c>
      <c r="G426" s="9" t="s">
        <v>887</v>
      </c>
      <c r="H426" s="1">
        <v>45219</v>
      </c>
      <c r="I426" t="s">
        <v>36</v>
      </c>
      <c r="J426" t="s">
        <v>888</v>
      </c>
      <c r="K426" t="s">
        <v>19</v>
      </c>
      <c r="L426" s="3">
        <f t="shared" si="12"/>
        <v>20986</v>
      </c>
      <c r="M426" s="3">
        <f t="shared" si="13"/>
        <v>47.695454545454545</v>
      </c>
    </row>
    <row r="427" spans="1:13" x14ac:dyDescent="0.35">
      <c r="A427" t="s">
        <v>26</v>
      </c>
      <c r="B427" t="s">
        <v>62</v>
      </c>
      <c r="C427" t="s">
        <v>77</v>
      </c>
      <c r="D427" t="s">
        <v>14</v>
      </c>
      <c r="E427" t="s">
        <v>23</v>
      </c>
      <c r="F427" s="4">
        <v>214</v>
      </c>
      <c r="G427" s="9" t="s">
        <v>889</v>
      </c>
      <c r="H427" s="1">
        <v>45212</v>
      </c>
      <c r="I427" t="s">
        <v>48</v>
      </c>
      <c r="J427" t="s">
        <v>890</v>
      </c>
      <c r="K427" t="s">
        <v>38</v>
      </c>
      <c r="L427" s="3">
        <f t="shared" si="12"/>
        <v>43574</v>
      </c>
      <c r="M427" s="3">
        <f t="shared" si="13"/>
        <v>203.61682242990653</v>
      </c>
    </row>
    <row r="428" spans="1:13" x14ac:dyDescent="0.35">
      <c r="A428" t="s">
        <v>11</v>
      </c>
      <c r="B428" t="s">
        <v>12</v>
      </c>
      <c r="C428" t="s">
        <v>13</v>
      </c>
      <c r="D428" t="s">
        <v>22</v>
      </c>
      <c r="E428">
        <v>30</v>
      </c>
      <c r="F428" s="4">
        <v>472</v>
      </c>
      <c r="G428" s="9" t="s">
        <v>891</v>
      </c>
      <c r="H428" s="1">
        <v>45431</v>
      </c>
      <c r="I428" t="s">
        <v>48</v>
      </c>
      <c r="J428" t="s">
        <v>892</v>
      </c>
      <c r="K428" t="s">
        <v>19</v>
      </c>
      <c r="L428" s="3">
        <f t="shared" si="12"/>
        <v>19038</v>
      </c>
      <c r="M428" s="3">
        <f t="shared" si="13"/>
        <v>40.334745762711862</v>
      </c>
    </row>
    <row r="429" spans="1:13" x14ac:dyDescent="0.35">
      <c r="A429" t="s">
        <v>11</v>
      </c>
      <c r="B429" t="s">
        <v>12</v>
      </c>
      <c r="C429" t="s">
        <v>13</v>
      </c>
      <c r="D429" t="s">
        <v>28</v>
      </c>
      <c r="E429">
        <v>30</v>
      </c>
      <c r="F429" s="4">
        <v>1484</v>
      </c>
      <c r="G429" s="9" t="s">
        <v>893</v>
      </c>
      <c r="H429" s="1">
        <v>45388</v>
      </c>
      <c r="I429" t="s">
        <v>30</v>
      </c>
      <c r="J429" t="s">
        <v>894</v>
      </c>
      <c r="K429" t="s">
        <v>56</v>
      </c>
      <c r="L429" s="3">
        <f t="shared" si="12"/>
        <v>29949</v>
      </c>
      <c r="M429" s="3">
        <f t="shared" si="13"/>
        <v>20.181266846361186</v>
      </c>
    </row>
    <row r="430" spans="1:13" x14ac:dyDescent="0.35">
      <c r="A430" t="s">
        <v>39</v>
      </c>
      <c r="B430" t="s">
        <v>20</v>
      </c>
      <c r="C430" t="s">
        <v>13</v>
      </c>
      <c r="D430" t="s">
        <v>89</v>
      </c>
      <c r="E430" t="s">
        <v>23</v>
      </c>
      <c r="F430" s="4">
        <v>914</v>
      </c>
      <c r="G430" s="9" t="s">
        <v>895</v>
      </c>
      <c r="H430" s="1">
        <v>45153</v>
      </c>
      <c r="I430" t="s">
        <v>48</v>
      </c>
      <c r="J430" t="s">
        <v>896</v>
      </c>
      <c r="K430" t="s">
        <v>38</v>
      </c>
      <c r="L430" s="3">
        <f t="shared" si="12"/>
        <v>34019</v>
      </c>
      <c r="M430" s="3">
        <f t="shared" si="13"/>
        <v>37.2199124726477</v>
      </c>
    </row>
    <row r="431" spans="1:13" x14ac:dyDescent="0.35">
      <c r="A431" t="s">
        <v>39</v>
      </c>
      <c r="B431" t="s">
        <v>59</v>
      </c>
      <c r="C431" t="s">
        <v>27</v>
      </c>
      <c r="D431" t="s">
        <v>34</v>
      </c>
      <c r="E431" t="s">
        <v>23</v>
      </c>
      <c r="F431" s="4">
        <v>1423</v>
      </c>
      <c r="G431" s="9" t="s">
        <v>897</v>
      </c>
      <c r="H431" s="1">
        <v>45238</v>
      </c>
      <c r="I431" t="s">
        <v>45</v>
      </c>
      <c r="J431" t="s">
        <v>898</v>
      </c>
      <c r="K431" t="s">
        <v>38</v>
      </c>
      <c r="L431" s="3">
        <f t="shared" si="12"/>
        <v>36260</v>
      </c>
      <c r="M431" s="3">
        <f t="shared" si="13"/>
        <v>25.481377371749826</v>
      </c>
    </row>
    <row r="432" spans="1:13" x14ac:dyDescent="0.35">
      <c r="A432" t="s">
        <v>53</v>
      </c>
      <c r="B432" t="s">
        <v>62</v>
      </c>
      <c r="C432" t="s">
        <v>13</v>
      </c>
      <c r="D432" t="s">
        <v>22</v>
      </c>
      <c r="E432">
        <v>60</v>
      </c>
      <c r="F432" s="4">
        <v>1566</v>
      </c>
      <c r="G432" s="9" t="s">
        <v>899</v>
      </c>
      <c r="H432" s="1">
        <v>45324</v>
      </c>
      <c r="I432" t="s">
        <v>48</v>
      </c>
      <c r="J432" t="s">
        <v>900</v>
      </c>
      <c r="K432" t="s">
        <v>56</v>
      </c>
      <c r="L432" s="3">
        <f t="shared" si="12"/>
        <v>16223</v>
      </c>
      <c r="M432" s="3">
        <f t="shared" si="13"/>
        <v>10.359514687100894</v>
      </c>
    </row>
    <row r="433" spans="1:13" x14ac:dyDescent="0.35">
      <c r="A433" t="s">
        <v>39</v>
      </c>
      <c r="B433" t="s">
        <v>62</v>
      </c>
      <c r="C433" t="s">
        <v>77</v>
      </c>
      <c r="D433" t="s">
        <v>34</v>
      </c>
      <c r="E433">
        <v>30</v>
      </c>
      <c r="F433" s="4">
        <v>908</v>
      </c>
      <c r="G433" s="9" t="s">
        <v>901</v>
      </c>
      <c r="H433" s="1">
        <v>45221</v>
      </c>
      <c r="I433" t="s">
        <v>30</v>
      </c>
      <c r="J433" t="s">
        <v>902</v>
      </c>
      <c r="K433" t="s">
        <v>52</v>
      </c>
      <c r="L433" s="3">
        <f t="shared" si="12"/>
        <v>43749</v>
      </c>
      <c r="M433" s="3">
        <f t="shared" si="13"/>
        <v>48.181718061674012</v>
      </c>
    </row>
    <row r="434" spans="1:13" x14ac:dyDescent="0.35">
      <c r="A434" t="s">
        <v>53</v>
      </c>
      <c r="B434" t="s">
        <v>20</v>
      </c>
      <c r="C434" t="s">
        <v>13</v>
      </c>
      <c r="D434" t="s">
        <v>89</v>
      </c>
      <c r="E434">
        <v>60</v>
      </c>
      <c r="F434" s="4">
        <v>1387</v>
      </c>
      <c r="G434" s="9" t="s">
        <v>903</v>
      </c>
      <c r="H434" s="1">
        <v>45475</v>
      </c>
      <c r="I434" t="s">
        <v>48</v>
      </c>
      <c r="J434" t="s">
        <v>904</v>
      </c>
      <c r="K434" t="s">
        <v>38</v>
      </c>
      <c r="L434" s="3">
        <f t="shared" si="12"/>
        <v>44173</v>
      </c>
      <c r="M434" s="3">
        <f t="shared" si="13"/>
        <v>31.8478731074261</v>
      </c>
    </row>
    <row r="435" spans="1:13" x14ac:dyDescent="0.35">
      <c r="A435" t="s">
        <v>39</v>
      </c>
      <c r="B435" t="s">
        <v>40</v>
      </c>
      <c r="C435" t="s">
        <v>27</v>
      </c>
      <c r="D435" t="s">
        <v>89</v>
      </c>
      <c r="E435">
        <v>60</v>
      </c>
      <c r="F435" s="4">
        <v>755</v>
      </c>
      <c r="G435" s="9" t="s">
        <v>905</v>
      </c>
      <c r="H435" s="1">
        <v>45238</v>
      </c>
      <c r="I435" t="s">
        <v>17</v>
      </c>
      <c r="J435" t="s">
        <v>906</v>
      </c>
      <c r="K435" t="s">
        <v>38</v>
      </c>
      <c r="L435" s="3">
        <f t="shared" si="12"/>
        <v>34127</v>
      </c>
      <c r="M435" s="3">
        <f t="shared" si="13"/>
        <v>45.201324503311255</v>
      </c>
    </row>
    <row r="436" spans="1:13" x14ac:dyDescent="0.35">
      <c r="A436" t="s">
        <v>53</v>
      </c>
      <c r="B436" t="s">
        <v>40</v>
      </c>
      <c r="C436" t="s">
        <v>27</v>
      </c>
      <c r="D436" t="s">
        <v>22</v>
      </c>
      <c r="E436" t="s">
        <v>23</v>
      </c>
      <c r="F436" s="4">
        <v>1434</v>
      </c>
      <c r="G436" s="9" t="s">
        <v>907</v>
      </c>
      <c r="H436" s="1">
        <v>45316</v>
      </c>
      <c r="I436" t="s">
        <v>36</v>
      </c>
      <c r="J436" t="s">
        <v>908</v>
      </c>
      <c r="K436" t="s">
        <v>56</v>
      </c>
      <c r="L436" s="3">
        <f t="shared" si="12"/>
        <v>43000</v>
      </c>
      <c r="M436" s="3">
        <f t="shared" si="13"/>
        <v>29.986052998605299</v>
      </c>
    </row>
    <row r="437" spans="1:13" x14ac:dyDescent="0.35">
      <c r="A437" t="s">
        <v>11</v>
      </c>
      <c r="B437" t="s">
        <v>62</v>
      </c>
      <c r="C437" t="s">
        <v>77</v>
      </c>
      <c r="D437" t="s">
        <v>28</v>
      </c>
      <c r="E437" t="s">
        <v>43</v>
      </c>
      <c r="F437" s="4">
        <v>1286</v>
      </c>
      <c r="G437" s="9" t="s">
        <v>909</v>
      </c>
      <c r="H437" s="1">
        <v>45233</v>
      </c>
      <c r="I437" t="s">
        <v>45</v>
      </c>
      <c r="J437" t="s">
        <v>910</v>
      </c>
      <c r="K437" t="s">
        <v>32</v>
      </c>
      <c r="L437" s="3">
        <f t="shared" si="12"/>
        <v>1777</v>
      </c>
      <c r="M437" s="3">
        <f t="shared" si="13"/>
        <v>1.3818040435458787</v>
      </c>
    </row>
    <row r="438" spans="1:13" x14ac:dyDescent="0.35">
      <c r="A438" t="s">
        <v>86</v>
      </c>
      <c r="B438" t="s">
        <v>40</v>
      </c>
      <c r="C438" t="s">
        <v>33</v>
      </c>
      <c r="D438" t="s">
        <v>22</v>
      </c>
      <c r="E438">
        <v>60</v>
      </c>
      <c r="F438" s="4">
        <v>992</v>
      </c>
      <c r="G438" s="9" t="s">
        <v>911</v>
      </c>
      <c r="H438" s="1">
        <v>45357</v>
      </c>
      <c r="I438" t="s">
        <v>36</v>
      </c>
      <c r="J438" t="s">
        <v>912</v>
      </c>
      <c r="K438" t="s">
        <v>32</v>
      </c>
      <c r="L438" s="3">
        <f t="shared" si="12"/>
        <v>4119</v>
      </c>
      <c r="M438" s="3">
        <f t="shared" si="13"/>
        <v>4.152217741935484</v>
      </c>
    </row>
    <row r="439" spans="1:13" x14ac:dyDescent="0.35">
      <c r="A439" t="s">
        <v>11</v>
      </c>
      <c r="B439" t="s">
        <v>62</v>
      </c>
      <c r="C439" t="s">
        <v>33</v>
      </c>
      <c r="D439" t="s">
        <v>14</v>
      </c>
      <c r="E439">
        <v>60</v>
      </c>
      <c r="F439" s="4">
        <v>130</v>
      </c>
      <c r="G439" s="9" t="s">
        <v>913</v>
      </c>
      <c r="H439" s="1">
        <v>45415</v>
      </c>
      <c r="I439" t="s">
        <v>36</v>
      </c>
      <c r="J439" t="s">
        <v>914</v>
      </c>
      <c r="K439" t="s">
        <v>32</v>
      </c>
      <c r="L439" s="3">
        <f t="shared" si="12"/>
        <v>37525</v>
      </c>
      <c r="M439" s="3">
        <f t="shared" si="13"/>
        <v>288.65384615384613</v>
      </c>
    </row>
    <row r="440" spans="1:13" x14ac:dyDescent="0.35">
      <c r="A440" t="s">
        <v>39</v>
      </c>
      <c r="B440" t="s">
        <v>12</v>
      </c>
      <c r="C440" t="s">
        <v>13</v>
      </c>
      <c r="D440" t="s">
        <v>14</v>
      </c>
      <c r="E440" t="s">
        <v>43</v>
      </c>
      <c r="F440" s="4">
        <v>1575</v>
      </c>
      <c r="G440" s="9" t="s">
        <v>915</v>
      </c>
      <c r="H440" s="1">
        <v>45141</v>
      </c>
      <c r="I440" t="s">
        <v>45</v>
      </c>
      <c r="J440" t="s">
        <v>916</v>
      </c>
      <c r="K440" t="s">
        <v>38</v>
      </c>
      <c r="L440" s="3">
        <f t="shared" si="12"/>
        <v>15314</v>
      </c>
      <c r="M440" s="3">
        <f t="shared" si="13"/>
        <v>9.7231746031746038</v>
      </c>
    </row>
    <row r="441" spans="1:13" x14ac:dyDescent="0.35">
      <c r="A441" t="s">
        <v>53</v>
      </c>
      <c r="B441" t="s">
        <v>59</v>
      </c>
      <c r="C441" t="s">
        <v>13</v>
      </c>
      <c r="D441" t="s">
        <v>14</v>
      </c>
      <c r="E441">
        <v>30</v>
      </c>
      <c r="F441" s="4">
        <v>634</v>
      </c>
      <c r="G441" s="9" t="s">
        <v>917</v>
      </c>
      <c r="H441" s="1">
        <v>45164</v>
      </c>
      <c r="I441" t="s">
        <v>48</v>
      </c>
      <c r="J441" t="s">
        <v>918</v>
      </c>
      <c r="K441" t="s">
        <v>52</v>
      </c>
      <c r="L441" s="3">
        <f t="shared" si="12"/>
        <v>28930</v>
      </c>
      <c r="M441" s="3">
        <f t="shared" si="13"/>
        <v>45.630914826498426</v>
      </c>
    </row>
    <row r="442" spans="1:13" x14ac:dyDescent="0.35">
      <c r="A442" t="s">
        <v>39</v>
      </c>
      <c r="B442" t="s">
        <v>12</v>
      </c>
      <c r="C442" t="s">
        <v>21</v>
      </c>
      <c r="D442" t="s">
        <v>89</v>
      </c>
      <c r="E442" t="s">
        <v>23</v>
      </c>
      <c r="F442" s="4">
        <v>937</v>
      </c>
      <c r="G442" s="9" t="s">
        <v>919</v>
      </c>
      <c r="H442" s="1">
        <v>45255</v>
      </c>
      <c r="I442" t="s">
        <v>30</v>
      </c>
      <c r="J442" t="s">
        <v>920</v>
      </c>
      <c r="K442" t="s">
        <v>32</v>
      </c>
      <c r="L442" s="3">
        <f t="shared" si="12"/>
        <v>1592</v>
      </c>
      <c r="M442" s="3">
        <f t="shared" si="13"/>
        <v>1.6990394877267876</v>
      </c>
    </row>
    <row r="443" spans="1:13" x14ac:dyDescent="0.35">
      <c r="A443" t="s">
        <v>53</v>
      </c>
      <c r="B443" t="s">
        <v>12</v>
      </c>
      <c r="C443" t="s">
        <v>33</v>
      </c>
      <c r="D443" t="s">
        <v>14</v>
      </c>
      <c r="E443">
        <v>60</v>
      </c>
      <c r="F443" s="4">
        <v>653</v>
      </c>
      <c r="G443" s="9" t="s">
        <v>921</v>
      </c>
      <c r="H443" s="1">
        <v>45210</v>
      </c>
      <c r="I443" t="s">
        <v>17</v>
      </c>
      <c r="J443" t="s">
        <v>922</v>
      </c>
      <c r="K443" t="s">
        <v>19</v>
      </c>
      <c r="L443" s="3">
        <f t="shared" si="12"/>
        <v>40612</v>
      </c>
      <c r="M443" s="3">
        <f t="shared" si="13"/>
        <v>62.192955589586525</v>
      </c>
    </row>
    <row r="444" spans="1:13" x14ac:dyDescent="0.35">
      <c r="A444" t="s">
        <v>26</v>
      </c>
      <c r="B444" t="s">
        <v>12</v>
      </c>
      <c r="C444" t="s">
        <v>21</v>
      </c>
      <c r="D444" t="s">
        <v>22</v>
      </c>
      <c r="E444">
        <v>30</v>
      </c>
      <c r="F444" s="4">
        <v>924</v>
      </c>
      <c r="G444" s="9" t="s">
        <v>923</v>
      </c>
      <c r="H444" s="1">
        <v>45288</v>
      </c>
      <c r="I444" t="s">
        <v>45</v>
      </c>
      <c r="J444" t="s">
        <v>924</v>
      </c>
      <c r="K444" t="s">
        <v>52</v>
      </c>
      <c r="L444" s="3">
        <f t="shared" si="12"/>
        <v>12763</v>
      </c>
      <c r="M444" s="3">
        <f t="shared" si="13"/>
        <v>13.812770562770563</v>
      </c>
    </row>
    <row r="445" spans="1:13" x14ac:dyDescent="0.35">
      <c r="A445" t="s">
        <v>53</v>
      </c>
      <c r="B445" t="s">
        <v>62</v>
      </c>
      <c r="C445" t="s">
        <v>33</v>
      </c>
      <c r="D445" t="s">
        <v>14</v>
      </c>
      <c r="E445" t="s">
        <v>43</v>
      </c>
      <c r="F445" s="4">
        <v>1480</v>
      </c>
      <c r="G445" s="9" t="s">
        <v>925</v>
      </c>
      <c r="H445" s="1">
        <v>45278</v>
      </c>
      <c r="I445" t="s">
        <v>30</v>
      </c>
      <c r="J445" t="s">
        <v>926</v>
      </c>
      <c r="K445" t="s">
        <v>52</v>
      </c>
      <c r="L445" s="3">
        <f t="shared" si="12"/>
        <v>22509</v>
      </c>
      <c r="M445" s="3">
        <f t="shared" si="13"/>
        <v>15.208783783783783</v>
      </c>
    </row>
    <row r="446" spans="1:13" x14ac:dyDescent="0.35">
      <c r="A446" t="s">
        <v>11</v>
      </c>
      <c r="B446" t="s">
        <v>20</v>
      </c>
      <c r="C446" t="s">
        <v>21</v>
      </c>
      <c r="D446" t="s">
        <v>28</v>
      </c>
      <c r="E446">
        <v>30</v>
      </c>
      <c r="F446" s="4">
        <v>1069</v>
      </c>
      <c r="G446" s="9" t="s">
        <v>927</v>
      </c>
      <c r="H446" s="1">
        <v>45389</v>
      </c>
      <c r="I446" t="s">
        <v>45</v>
      </c>
      <c r="J446" t="s">
        <v>928</v>
      </c>
      <c r="K446" t="s">
        <v>56</v>
      </c>
      <c r="L446" s="3">
        <f t="shared" si="12"/>
        <v>20868</v>
      </c>
      <c r="M446" s="3">
        <f t="shared" si="13"/>
        <v>19.521047708138447</v>
      </c>
    </row>
    <row r="447" spans="1:13" x14ac:dyDescent="0.35">
      <c r="A447" t="s">
        <v>11</v>
      </c>
      <c r="B447" t="s">
        <v>12</v>
      </c>
      <c r="C447" t="s">
        <v>77</v>
      </c>
      <c r="D447" t="s">
        <v>89</v>
      </c>
      <c r="E447">
        <v>30</v>
      </c>
      <c r="F447" s="4">
        <v>1480</v>
      </c>
      <c r="G447" s="9" t="s">
        <v>929</v>
      </c>
      <c r="H447" s="1">
        <v>45456</v>
      </c>
      <c r="I447" t="s">
        <v>36</v>
      </c>
      <c r="J447" t="s">
        <v>930</v>
      </c>
      <c r="K447" t="s">
        <v>56</v>
      </c>
      <c r="L447" s="3">
        <f t="shared" si="12"/>
        <v>28254</v>
      </c>
      <c r="M447" s="3">
        <f t="shared" si="13"/>
        <v>19.090540540540541</v>
      </c>
    </row>
    <row r="448" spans="1:13" x14ac:dyDescent="0.35">
      <c r="A448" t="s">
        <v>26</v>
      </c>
      <c r="B448" t="s">
        <v>12</v>
      </c>
      <c r="C448" t="s">
        <v>33</v>
      </c>
      <c r="D448" t="s">
        <v>28</v>
      </c>
      <c r="E448" t="s">
        <v>23</v>
      </c>
      <c r="F448" s="4">
        <v>1744</v>
      </c>
      <c r="G448" s="9" t="s">
        <v>931</v>
      </c>
      <c r="H448" s="1">
        <v>45144</v>
      </c>
      <c r="I448" t="s">
        <v>48</v>
      </c>
      <c r="J448" t="s">
        <v>932</v>
      </c>
      <c r="K448" t="s">
        <v>56</v>
      </c>
      <c r="L448" s="3">
        <f t="shared" si="12"/>
        <v>47553</v>
      </c>
      <c r="M448" s="3">
        <f t="shared" si="13"/>
        <v>27.266628440366972</v>
      </c>
    </row>
    <row r="449" spans="1:13" x14ac:dyDescent="0.35">
      <c r="A449" t="s">
        <v>26</v>
      </c>
      <c r="B449" t="s">
        <v>59</v>
      </c>
      <c r="C449" t="s">
        <v>33</v>
      </c>
      <c r="D449" t="s">
        <v>89</v>
      </c>
      <c r="E449">
        <v>30</v>
      </c>
      <c r="F449" s="4">
        <v>343</v>
      </c>
      <c r="G449" s="9" t="s">
        <v>933</v>
      </c>
      <c r="H449" s="1">
        <v>45175</v>
      </c>
      <c r="I449" t="s">
        <v>36</v>
      </c>
      <c r="J449" t="s">
        <v>934</v>
      </c>
      <c r="K449" t="s">
        <v>19</v>
      </c>
      <c r="L449" s="3">
        <f t="shared" si="12"/>
        <v>15580</v>
      </c>
      <c r="M449" s="3">
        <f t="shared" si="13"/>
        <v>45.422740524781339</v>
      </c>
    </row>
    <row r="450" spans="1:13" x14ac:dyDescent="0.35">
      <c r="A450" t="s">
        <v>26</v>
      </c>
      <c r="B450" t="s">
        <v>40</v>
      </c>
      <c r="C450" t="s">
        <v>21</v>
      </c>
      <c r="D450" t="s">
        <v>14</v>
      </c>
      <c r="E450" t="s">
        <v>15</v>
      </c>
      <c r="F450" s="4">
        <v>1448</v>
      </c>
      <c r="G450" s="9" t="s">
        <v>935</v>
      </c>
      <c r="H450" s="1">
        <v>45450</v>
      </c>
      <c r="I450" t="s">
        <v>48</v>
      </c>
      <c r="J450" t="s">
        <v>936</v>
      </c>
      <c r="K450" t="s">
        <v>19</v>
      </c>
      <c r="L450" s="3">
        <f t="shared" ref="L450:L513" si="14">VALUE(SUBSTITUTE(G450,"$",""))</f>
        <v>36442</v>
      </c>
      <c r="M450" s="3">
        <f t="shared" si="13"/>
        <v>25.167127071823206</v>
      </c>
    </row>
    <row r="451" spans="1:13" x14ac:dyDescent="0.35">
      <c r="A451" t="s">
        <v>53</v>
      </c>
      <c r="B451" t="s">
        <v>62</v>
      </c>
      <c r="C451" t="s">
        <v>33</v>
      </c>
      <c r="D451" t="s">
        <v>14</v>
      </c>
      <c r="E451" t="s">
        <v>15</v>
      </c>
      <c r="F451" s="4">
        <v>1484</v>
      </c>
      <c r="G451" s="9" t="s">
        <v>937</v>
      </c>
      <c r="H451" s="1">
        <v>45160</v>
      </c>
      <c r="I451" t="s">
        <v>36</v>
      </c>
      <c r="J451" t="s">
        <v>938</v>
      </c>
      <c r="K451" t="s">
        <v>38</v>
      </c>
      <c r="L451" s="3">
        <f t="shared" si="14"/>
        <v>24252</v>
      </c>
      <c r="M451" s="3">
        <f t="shared" ref="M451:M514" si="15">VALUE(SUBSTITUTE(SUBSTITUTE(G451,"$",""),",",""))/F451</f>
        <v>16.342318059299192</v>
      </c>
    </row>
    <row r="452" spans="1:13" x14ac:dyDescent="0.35">
      <c r="A452" t="s">
        <v>39</v>
      </c>
      <c r="B452" t="s">
        <v>62</v>
      </c>
      <c r="C452" t="s">
        <v>33</v>
      </c>
      <c r="D452" t="s">
        <v>14</v>
      </c>
      <c r="E452" t="s">
        <v>15</v>
      </c>
      <c r="F452" s="4">
        <v>646</v>
      </c>
      <c r="G452" s="9" t="s">
        <v>939</v>
      </c>
      <c r="H452" s="1">
        <v>45372</v>
      </c>
      <c r="I452" t="s">
        <v>17</v>
      </c>
      <c r="J452" t="s">
        <v>940</v>
      </c>
      <c r="K452" t="s">
        <v>56</v>
      </c>
      <c r="L452" s="3">
        <f t="shared" si="14"/>
        <v>39816</v>
      </c>
      <c r="M452" s="3">
        <f t="shared" si="15"/>
        <v>61.634674922600617</v>
      </c>
    </row>
    <row r="453" spans="1:13" x14ac:dyDescent="0.35">
      <c r="A453" t="s">
        <v>11</v>
      </c>
      <c r="B453" t="s">
        <v>12</v>
      </c>
      <c r="C453" t="s">
        <v>33</v>
      </c>
      <c r="D453" t="s">
        <v>22</v>
      </c>
      <c r="E453" t="s">
        <v>23</v>
      </c>
      <c r="F453" s="4">
        <v>873</v>
      </c>
      <c r="G453" s="9" t="s">
        <v>941</v>
      </c>
      <c r="H453" s="1">
        <v>45378</v>
      </c>
      <c r="I453" t="s">
        <v>17</v>
      </c>
      <c r="J453" t="s">
        <v>942</v>
      </c>
      <c r="K453" t="s">
        <v>19</v>
      </c>
      <c r="L453" s="3">
        <f t="shared" si="14"/>
        <v>19598</v>
      </c>
      <c r="M453" s="3">
        <f t="shared" si="15"/>
        <v>22.449026345933561</v>
      </c>
    </row>
    <row r="454" spans="1:13" x14ac:dyDescent="0.35">
      <c r="A454" t="s">
        <v>86</v>
      </c>
      <c r="B454" t="s">
        <v>62</v>
      </c>
      <c r="C454" t="s">
        <v>33</v>
      </c>
      <c r="D454" t="s">
        <v>22</v>
      </c>
      <c r="E454" t="s">
        <v>43</v>
      </c>
      <c r="F454" s="4">
        <v>507</v>
      </c>
      <c r="G454" s="9" t="s">
        <v>943</v>
      </c>
      <c r="H454" s="1">
        <v>45247</v>
      </c>
      <c r="I454" t="s">
        <v>45</v>
      </c>
      <c r="J454" t="s">
        <v>944</v>
      </c>
      <c r="K454" t="s">
        <v>19</v>
      </c>
      <c r="L454" s="3">
        <f t="shared" si="14"/>
        <v>2658</v>
      </c>
      <c r="M454" s="3">
        <f t="shared" si="15"/>
        <v>5.2426035502958577</v>
      </c>
    </row>
    <row r="455" spans="1:13" x14ac:dyDescent="0.35">
      <c r="A455" t="s">
        <v>26</v>
      </c>
      <c r="B455" t="s">
        <v>62</v>
      </c>
      <c r="C455" t="s">
        <v>33</v>
      </c>
      <c r="D455" t="s">
        <v>14</v>
      </c>
      <c r="E455">
        <v>30</v>
      </c>
      <c r="F455" s="4">
        <v>1465</v>
      </c>
      <c r="G455" s="9" t="s">
        <v>945</v>
      </c>
      <c r="H455" s="1">
        <v>45462</v>
      </c>
      <c r="I455" t="s">
        <v>48</v>
      </c>
      <c r="J455" t="s">
        <v>946</v>
      </c>
      <c r="K455" t="s">
        <v>19</v>
      </c>
      <c r="L455" s="3">
        <f t="shared" si="14"/>
        <v>22742</v>
      </c>
      <c r="M455" s="3">
        <f t="shared" si="15"/>
        <v>15.523549488054607</v>
      </c>
    </row>
    <row r="456" spans="1:13" x14ac:dyDescent="0.35">
      <c r="A456" t="s">
        <v>11</v>
      </c>
      <c r="B456" t="s">
        <v>62</v>
      </c>
      <c r="C456" t="s">
        <v>13</v>
      </c>
      <c r="D456" t="s">
        <v>89</v>
      </c>
      <c r="E456" t="s">
        <v>15</v>
      </c>
      <c r="F456" s="4">
        <v>917</v>
      </c>
      <c r="G456" s="9" t="s">
        <v>947</v>
      </c>
      <c r="H456" s="1">
        <v>45349</v>
      </c>
      <c r="I456" t="s">
        <v>45</v>
      </c>
      <c r="J456" t="s">
        <v>948</v>
      </c>
      <c r="K456" t="s">
        <v>32</v>
      </c>
      <c r="L456" s="3">
        <f t="shared" si="14"/>
        <v>16758</v>
      </c>
      <c r="M456" s="3">
        <f t="shared" si="15"/>
        <v>18.274809160305342</v>
      </c>
    </row>
    <row r="457" spans="1:13" x14ac:dyDescent="0.35">
      <c r="A457" t="s">
        <v>26</v>
      </c>
      <c r="B457" t="s">
        <v>12</v>
      </c>
      <c r="C457" t="s">
        <v>21</v>
      </c>
      <c r="D457" t="s">
        <v>22</v>
      </c>
      <c r="E457" t="s">
        <v>15</v>
      </c>
      <c r="F457" s="4">
        <v>450</v>
      </c>
      <c r="G457" s="9" t="s">
        <v>949</v>
      </c>
      <c r="H457" s="1">
        <v>45403</v>
      </c>
      <c r="I457" t="s">
        <v>36</v>
      </c>
      <c r="J457" t="s">
        <v>950</v>
      </c>
      <c r="K457" t="s">
        <v>38</v>
      </c>
      <c r="L457" s="3">
        <f t="shared" si="14"/>
        <v>4842</v>
      </c>
      <c r="M457" s="3">
        <f t="shared" si="15"/>
        <v>10.76</v>
      </c>
    </row>
    <row r="458" spans="1:13" x14ac:dyDescent="0.35">
      <c r="A458" t="s">
        <v>86</v>
      </c>
      <c r="B458" t="s">
        <v>40</v>
      </c>
      <c r="C458" t="s">
        <v>77</v>
      </c>
      <c r="D458" t="s">
        <v>14</v>
      </c>
      <c r="E458">
        <v>60</v>
      </c>
      <c r="F458" s="4">
        <v>1036</v>
      </c>
      <c r="G458" s="9" t="s">
        <v>951</v>
      </c>
      <c r="H458" s="1">
        <v>45201</v>
      </c>
      <c r="I458" t="s">
        <v>17</v>
      </c>
      <c r="J458" t="s">
        <v>952</v>
      </c>
      <c r="K458" t="s">
        <v>19</v>
      </c>
      <c r="L458" s="3">
        <f t="shared" si="14"/>
        <v>28098</v>
      </c>
      <c r="M458" s="3">
        <f t="shared" si="15"/>
        <v>27.121621621621621</v>
      </c>
    </row>
    <row r="459" spans="1:13" x14ac:dyDescent="0.35">
      <c r="A459" t="s">
        <v>86</v>
      </c>
      <c r="B459" t="s">
        <v>12</v>
      </c>
      <c r="C459" t="s">
        <v>13</v>
      </c>
      <c r="D459" t="s">
        <v>28</v>
      </c>
      <c r="E459">
        <v>30</v>
      </c>
      <c r="F459" s="4">
        <v>355</v>
      </c>
      <c r="G459" s="9" t="s">
        <v>947</v>
      </c>
      <c r="H459" s="1">
        <v>45203</v>
      </c>
      <c r="I459" t="s">
        <v>36</v>
      </c>
      <c r="J459" t="s">
        <v>953</v>
      </c>
      <c r="K459" t="s">
        <v>52</v>
      </c>
      <c r="L459" s="3">
        <f t="shared" si="14"/>
        <v>16758</v>
      </c>
      <c r="M459" s="3">
        <f t="shared" si="15"/>
        <v>47.205633802816898</v>
      </c>
    </row>
    <row r="460" spans="1:13" x14ac:dyDescent="0.35">
      <c r="A460" t="s">
        <v>26</v>
      </c>
      <c r="B460" t="s">
        <v>59</v>
      </c>
      <c r="C460" t="s">
        <v>27</v>
      </c>
      <c r="D460" t="s">
        <v>34</v>
      </c>
      <c r="E460" t="s">
        <v>43</v>
      </c>
      <c r="F460" s="4">
        <v>159</v>
      </c>
      <c r="G460" s="9" t="s">
        <v>954</v>
      </c>
      <c r="H460" s="1">
        <v>45212</v>
      </c>
      <c r="I460" t="s">
        <v>48</v>
      </c>
      <c r="J460" t="s">
        <v>955</v>
      </c>
      <c r="K460" t="s">
        <v>38</v>
      </c>
      <c r="L460" s="3">
        <f t="shared" si="14"/>
        <v>10132</v>
      </c>
      <c r="M460" s="3">
        <f t="shared" si="15"/>
        <v>63.723270440251575</v>
      </c>
    </row>
    <row r="461" spans="1:13" x14ac:dyDescent="0.35">
      <c r="A461" t="s">
        <v>39</v>
      </c>
      <c r="B461" t="s">
        <v>40</v>
      </c>
      <c r="C461" t="s">
        <v>33</v>
      </c>
      <c r="D461" t="s">
        <v>14</v>
      </c>
      <c r="E461">
        <v>30</v>
      </c>
      <c r="F461" s="4">
        <v>1835</v>
      </c>
      <c r="G461" s="9" t="s">
        <v>956</v>
      </c>
      <c r="H461" s="1">
        <v>45403</v>
      </c>
      <c r="I461" t="s">
        <v>17</v>
      </c>
      <c r="J461" t="s">
        <v>957</v>
      </c>
      <c r="K461" t="s">
        <v>38</v>
      </c>
      <c r="L461" s="3">
        <f t="shared" si="14"/>
        <v>48131</v>
      </c>
      <c r="M461" s="3">
        <f t="shared" si="15"/>
        <v>26.22942779291553</v>
      </c>
    </row>
    <row r="462" spans="1:13" x14ac:dyDescent="0.35">
      <c r="A462" t="s">
        <v>26</v>
      </c>
      <c r="B462" t="s">
        <v>59</v>
      </c>
      <c r="C462" t="s">
        <v>13</v>
      </c>
      <c r="D462" t="s">
        <v>28</v>
      </c>
      <c r="E462">
        <v>30</v>
      </c>
      <c r="F462" s="4">
        <v>345</v>
      </c>
      <c r="G462" s="9" t="s">
        <v>958</v>
      </c>
      <c r="H462" s="1">
        <v>45214</v>
      </c>
      <c r="I462" t="s">
        <v>48</v>
      </c>
      <c r="J462" t="s">
        <v>959</v>
      </c>
      <c r="K462" t="s">
        <v>52</v>
      </c>
      <c r="L462" s="3">
        <f t="shared" si="14"/>
        <v>23783</v>
      </c>
      <c r="M462" s="3">
        <f t="shared" si="15"/>
        <v>68.936231884057975</v>
      </c>
    </row>
    <row r="463" spans="1:13" x14ac:dyDescent="0.35">
      <c r="A463" t="s">
        <v>39</v>
      </c>
      <c r="B463" t="s">
        <v>62</v>
      </c>
      <c r="C463" t="s">
        <v>27</v>
      </c>
      <c r="D463" t="s">
        <v>14</v>
      </c>
      <c r="E463">
        <v>30</v>
      </c>
      <c r="F463" s="4">
        <v>1701</v>
      </c>
      <c r="G463" s="9" t="s">
        <v>960</v>
      </c>
      <c r="H463" s="1">
        <v>45449</v>
      </c>
      <c r="I463" t="s">
        <v>48</v>
      </c>
      <c r="J463" t="s">
        <v>961</v>
      </c>
      <c r="K463" t="s">
        <v>19</v>
      </c>
      <c r="L463" s="3">
        <f t="shared" si="14"/>
        <v>38134</v>
      </c>
      <c r="M463" s="3">
        <f t="shared" si="15"/>
        <v>22.418577307466197</v>
      </c>
    </row>
    <row r="464" spans="1:13" x14ac:dyDescent="0.35">
      <c r="A464" t="s">
        <v>39</v>
      </c>
      <c r="B464" t="s">
        <v>20</v>
      </c>
      <c r="C464" t="s">
        <v>27</v>
      </c>
      <c r="D464" t="s">
        <v>34</v>
      </c>
      <c r="E464">
        <v>30</v>
      </c>
      <c r="F464" s="4">
        <v>966</v>
      </c>
      <c r="G464" s="9" t="s">
        <v>962</v>
      </c>
      <c r="H464" s="1">
        <v>45196</v>
      </c>
      <c r="I464" t="s">
        <v>48</v>
      </c>
      <c r="J464" t="s">
        <v>963</v>
      </c>
      <c r="K464" t="s">
        <v>38</v>
      </c>
      <c r="L464" s="3">
        <f t="shared" si="14"/>
        <v>29754</v>
      </c>
      <c r="M464" s="3">
        <f t="shared" si="15"/>
        <v>30.801242236024844</v>
      </c>
    </row>
    <row r="465" spans="1:13" x14ac:dyDescent="0.35">
      <c r="A465" t="s">
        <v>53</v>
      </c>
      <c r="B465" t="s">
        <v>20</v>
      </c>
      <c r="C465" t="s">
        <v>21</v>
      </c>
      <c r="D465" t="s">
        <v>28</v>
      </c>
      <c r="E465" t="s">
        <v>15</v>
      </c>
      <c r="F465" s="4">
        <v>1876</v>
      </c>
      <c r="G465" s="9" t="s">
        <v>964</v>
      </c>
      <c r="H465" s="1">
        <v>45433</v>
      </c>
      <c r="I465" t="s">
        <v>48</v>
      </c>
      <c r="J465" t="s">
        <v>965</v>
      </c>
      <c r="K465" t="s">
        <v>38</v>
      </c>
      <c r="L465" s="3">
        <f t="shared" si="14"/>
        <v>35523</v>
      </c>
      <c r="M465" s="3">
        <f t="shared" si="15"/>
        <v>18.93550106609808</v>
      </c>
    </row>
    <row r="466" spans="1:13" x14ac:dyDescent="0.35">
      <c r="A466" t="s">
        <v>86</v>
      </c>
      <c r="B466" t="s">
        <v>62</v>
      </c>
      <c r="C466" t="s">
        <v>13</v>
      </c>
      <c r="D466" t="s">
        <v>34</v>
      </c>
      <c r="E466" t="s">
        <v>23</v>
      </c>
      <c r="F466" s="4">
        <v>1589</v>
      </c>
      <c r="G466" s="9" t="s">
        <v>966</v>
      </c>
      <c r="H466" s="1">
        <v>45489</v>
      </c>
      <c r="I466" t="s">
        <v>17</v>
      </c>
      <c r="J466" t="s">
        <v>967</v>
      </c>
      <c r="K466" t="s">
        <v>32</v>
      </c>
      <c r="L466" s="3">
        <f t="shared" si="14"/>
        <v>39611</v>
      </c>
      <c r="M466" s="3">
        <f t="shared" si="15"/>
        <v>24.928256765261171</v>
      </c>
    </row>
    <row r="467" spans="1:13" x14ac:dyDescent="0.35">
      <c r="A467" t="s">
        <v>26</v>
      </c>
      <c r="B467" t="s">
        <v>62</v>
      </c>
      <c r="C467" t="s">
        <v>77</v>
      </c>
      <c r="D467" t="s">
        <v>14</v>
      </c>
      <c r="E467">
        <v>60</v>
      </c>
      <c r="F467" s="4">
        <v>1236</v>
      </c>
      <c r="G467" s="9" t="s">
        <v>968</v>
      </c>
      <c r="H467" s="1">
        <v>45361</v>
      </c>
      <c r="I467" t="s">
        <v>36</v>
      </c>
      <c r="J467" t="s">
        <v>969</v>
      </c>
      <c r="K467" t="s">
        <v>56</v>
      </c>
      <c r="L467" s="3">
        <f t="shared" si="14"/>
        <v>5976</v>
      </c>
      <c r="M467" s="3">
        <f t="shared" si="15"/>
        <v>4.8349514563106792</v>
      </c>
    </row>
    <row r="468" spans="1:13" x14ac:dyDescent="0.35">
      <c r="A468" t="s">
        <v>86</v>
      </c>
      <c r="B468" t="s">
        <v>12</v>
      </c>
      <c r="C468" t="s">
        <v>27</v>
      </c>
      <c r="D468" t="s">
        <v>14</v>
      </c>
      <c r="E468">
        <v>30</v>
      </c>
      <c r="F468" s="4">
        <v>406</v>
      </c>
      <c r="G468" s="9" t="s">
        <v>970</v>
      </c>
      <c r="H468" s="1">
        <v>45205</v>
      </c>
      <c r="I468" t="s">
        <v>17</v>
      </c>
      <c r="J468" t="s">
        <v>971</v>
      </c>
      <c r="K468" t="s">
        <v>52</v>
      </c>
      <c r="L468" s="3">
        <f t="shared" si="14"/>
        <v>19800</v>
      </c>
      <c r="M468" s="3">
        <f t="shared" si="15"/>
        <v>48.768472906403943</v>
      </c>
    </row>
    <row r="469" spans="1:13" x14ac:dyDescent="0.35">
      <c r="A469" t="s">
        <v>26</v>
      </c>
      <c r="B469" t="s">
        <v>12</v>
      </c>
      <c r="C469" t="s">
        <v>27</v>
      </c>
      <c r="D469" t="s">
        <v>89</v>
      </c>
      <c r="E469">
        <v>60</v>
      </c>
      <c r="F469" s="4">
        <v>1477</v>
      </c>
      <c r="G469" s="9" t="s">
        <v>972</v>
      </c>
      <c r="H469" s="1">
        <v>45302</v>
      </c>
      <c r="I469" t="s">
        <v>48</v>
      </c>
      <c r="J469" t="s">
        <v>973</v>
      </c>
      <c r="K469" t="s">
        <v>38</v>
      </c>
      <c r="L469" s="3">
        <f t="shared" si="14"/>
        <v>42087</v>
      </c>
      <c r="M469" s="3">
        <f t="shared" si="15"/>
        <v>28.494922139471903</v>
      </c>
    </row>
    <row r="470" spans="1:13" x14ac:dyDescent="0.35">
      <c r="A470" t="s">
        <v>39</v>
      </c>
      <c r="B470" t="s">
        <v>59</v>
      </c>
      <c r="C470" t="s">
        <v>77</v>
      </c>
      <c r="D470" t="s">
        <v>14</v>
      </c>
      <c r="E470" t="s">
        <v>23</v>
      </c>
      <c r="F470" s="4">
        <v>1684</v>
      </c>
      <c r="G470" s="9" t="s">
        <v>974</v>
      </c>
      <c r="H470" s="1">
        <v>45421</v>
      </c>
      <c r="I470" t="s">
        <v>45</v>
      </c>
      <c r="J470" t="s">
        <v>975</v>
      </c>
      <c r="K470" t="s">
        <v>52</v>
      </c>
      <c r="L470" s="3">
        <f t="shared" si="14"/>
        <v>49229</v>
      </c>
      <c r="M470" s="3">
        <f t="shared" si="15"/>
        <v>29.233372921615203</v>
      </c>
    </row>
    <row r="471" spans="1:13" x14ac:dyDescent="0.35">
      <c r="A471" t="s">
        <v>39</v>
      </c>
      <c r="B471" t="s">
        <v>59</v>
      </c>
      <c r="C471" t="s">
        <v>21</v>
      </c>
      <c r="D471" t="s">
        <v>14</v>
      </c>
      <c r="E471" t="s">
        <v>15</v>
      </c>
      <c r="F471" s="4">
        <v>849</v>
      </c>
      <c r="G471" s="9" t="s">
        <v>976</v>
      </c>
      <c r="H471" s="1">
        <v>45140</v>
      </c>
      <c r="I471" t="s">
        <v>45</v>
      </c>
      <c r="J471" t="s">
        <v>977</v>
      </c>
      <c r="K471" t="s">
        <v>52</v>
      </c>
      <c r="L471" s="3">
        <f t="shared" si="14"/>
        <v>45151</v>
      </c>
      <c r="M471" s="3">
        <f t="shared" si="15"/>
        <v>53.181389870435808</v>
      </c>
    </row>
    <row r="472" spans="1:13" x14ac:dyDescent="0.35">
      <c r="A472" t="s">
        <v>53</v>
      </c>
      <c r="B472" t="s">
        <v>20</v>
      </c>
      <c r="C472" t="s">
        <v>13</v>
      </c>
      <c r="D472" t="s">
        <v>22</v>
      </c>
      <c r="E472" t="s">
        <v>15</v>
      </c>
      <c r="F472" s="4">
        <v>849</v>
      </c>
      <c r="G472" s="9" t="s">
        <v>978</v>
      </c>
      <c r="H472" s="1">
        <v>45162</v>
      </c>
      <c r="I472" t="s">
        <v>17</v>
      </c>
      <c r="J472" t="s">
        <v>979</v>
      </c>
      <c r="K472" t="s">
        <v>38</v>
      </c>
      <c r="L472" s="3">
        <f t="shared" si="14"/>
        <v>39729</v>
      </c>
      <c r="M472" s="3">
        <f t="shared" si="15"/>
        <v>46.795053003533567</v>
      </c>
    </row>
    <row r="473" spans="1:13" x14ac:dyDescent="0.35">
      <c r="A473" t="s">
        <v>86</v>
      </c>
      <c r="B473" t="s">
        <v>12</v>
      </c>
      <c r="C473" t="s">
        <v>27</v>
      </c>
      <c r="D473" t="s">
        <v>28</v>
      </c>
      <c r="E473">
        <v>30</v>
      </c>
      <c r="F473" s="4">
        <v>1743</v>
      </c>
      <c r="G473" s="9" t="s">
        <v>980</v>
      </c>
      <c r="H473" s="1">
        <v>45260</v>
      </c>
      <c r="I473" t="s">
        <v>36</v>
      </c>
      <c r="J473" t="s">
        <v>981</v>
      </c>
      <c r="K473" t="s">
        <v>19</v>
      </c>
      <c r="L473" s="3">
        <f t="shared" si="14"/>
        <v>11137</v>
      </c>
      <c r="M473" s="3">
        <f t="shared" si="15"/>
        <v>6.3895582329317273</v>
      </c>
    </row>
    <row r="474" spans="1:13" x14ac:dyDescent="0.35">
      <c r="A474" t="s">
        <v>26</v>
      </c>
      <c r="B474" t="s">
        <v>62</v>
      </c>
      <c r="C474" t="s">
        <v>33</v>
      </c>
      <c r="D474" t="s">
        <v>34</v>
      </c>
      <c r="E474" t="s">
        <v>15</v>
      </c>
      <c r="F474" s="4">
        <v>359</v>
      </c>
      <c r="G474" s="9" t="s">
        <v>982</v>
      </c>
      <c r="H474" s="1">
        <v>45237</v>
      </c>
      <c r="I474" t="s">
        <v>48</v>
      </c>
      <c r="J474" t="s">
        <v>983</v>
      </c>
      <c r="K474" t="s">
        <v>56</v>
      </c>
      <c r="L474" s="3">
        <f t="shared" si="14"/>
        <v>14269</v>
      </c>
      <c r="M474" s="3">
        <f t="shared" si="15"/>
        <v>39.746518105849582</v>
      </c>
    </row>
    <row r="475" spans="1:13" x14ac:dyDescent="0.35">
      <c r="A475" t="s">
        <v>11</v>
      </c>
      <c r="B475" t="s">
        <v>62</v>
      </c>
      <c r="C475" t="s">
        <v>13</v>
      </c>
      <c r="D475" t="s">
        <v>14</v>
      </c>
      <c r="E475" t="s">
        <v>23</v>
      </c>
      <c r="F475" s="4">
        <v>573</v>
      </c>
      <c r="G475" s="9" t="s">
        <v>984</v>
      </c>
      <c r="H475" s="1">
        <v>45455</v>
      </c>
      <c r="I475" t="s">
        <v>17</v>
      </c>
      <c r="J475" t="s">
        <v>985</v>
      </c>
      <c r="K475" t="s">
        <v>56</v>
      </c>
      <c r="L475" s="3">
        <f t="shared" si="14"/>
        <v>4115</v>
      </c>
      <c r="M475" s="3">
        <f t="shared" si="15"/>
        <v>7.1815008726003491</v>
      </c>
    </row>
    <row r="476" spans="1:13" x14ac:dyDescent="0.35">
      <c r="A476" t="s">
        <v>11</v>
      </c>
      <c r="B476" t="s">
        <v>12</v>
      </c>
      <c r="C476" t="s">
        <v>21</v>
      </c>
      <c r="D476" t="s">
        <v>22</v>
      </c>
      <c r="E476" t="s">
        <v>43</v>
      </c>
      <c r="F476" s="4">
        <v>1330</v>
      </c>
      <c r="G476" s="9" t="s">
        <v>986</v>
      </c>
      <c r="H476" s="1">
        <v>45185</v>
      </c>
      <c r="I476" t="s">
        <v>17</v>
      </c>
      <c r="J476" t="s">
        <v>987</v>
      </c>
      <c r="K476" t="s">
        <v>38</v>
      </c>
      <c r="L476" s="3">
        <f t="shared" si="14"/>
        <v>28423</v>
      </c>
      <c r="M476" s="3">
        <f t="shared" si="15"/>
        <v>21.370676691729322</v>
      </c>
    </row>
    <row r="477" spans="1:13" x14ac:dyDescent="0.35">
      <c r="A477" t="s">
        <v>26</v>
      </c>
      <c r="B477" t="s">
        <v>62</v>
      </c>
      <c r="C477" t="s">
        <v>13</v>
      </c>
      <c r="D477" t="s">
        <v>14</v>
      </c>
      <c r="E477">
        <v>30</v>
      </c>
      <c r="F477" s="4">
        <v>1087</v>
      </c>
      <c r="G477" s="9" t="s">
        <v>988</v>
      </c>
      <c r="H477" s="1">
        <v>45357</v>
      </c>
      <c r="I477" t="s">
        <v>36</v>
      </c>
      <c r="J477" t="s">
        <v>989</v>
      </c>
      <c r="K477" t="s">
        <v>56</v>
      </c>
      <c r="L477" s="3">
        <f t="shared" si="14"/>
        <v>15485</v>
      </c>
      <c r="M477" s="3">
        <f t="shared" si="15"/>
        <v>14.245630174793009</v>
      </c>
    </row>
    <row r="478" spans="1:13" x14ac:dyDescent="0.35">
      <c r="A478" t="s">
        <v>11</v>
      </c>
      <c r="B478" t="s">
        <v>12</v>
      </c>
      <c r="C478" t="s">
        <v>27</v>
      </c>
      <c r="D478" t="s">
        <v>28</v>
      </c>
      <c r="E478" t="s">
        <v>23</v>
      </c>
      <c r="F478" s="4">
        <v>404</v>
      </c>
      <c r="G478" s="9" t="s">
        <v>990</v>
      </c>
      <c r="H478" s="1">
        <v>45207</v>
      </c>
      <c r="I478" t="s">
        <v>36</v>
      </c>
      <c r="J478" t="s">
        <v>991</v>
      </c>
      <c r="K478" t="s">
        <v>56</v>
      </c>
      <c r="L478" s="3">
        <f t="shared" si="14"/>
        <v>8798</v>
      </c>
      <c r="M478" s="3">
        <f t="shared" si="15"/>
        <v>21.777227722772277</v>
      </c>
    </row>
    <row r="479" spans="1:13" x14ac:dyDescent="0.35">
      <c r="A479" t="s">
        <v>53</v>
      </c>
      <c r="B479" t="s">
        <v>20</v>
      </c>
      <c r="C479" t="s">
        <v>21</v>
      </c>
      <c r="D479" t="s">
        <v>89</v>
      </c>
      <c r="E479">
        <v>60</v>
      </c>
      <c r="F479" s="4">
        <v>1641</v>
      </c>
      <c r="G479" s="9" t="s">
        <v>992</v>
      </c>
      <c r="H479" s="1">
        <v>45200</v>
      </c>
      <c r="I479" t="s">
        <v>48</v>
      </c>
      <c r="J479" t="s">
        <v>993</v>
      </c>
      <c r="K479" t="s">
        <v>32</v>
      </c>
      <c r="L479" s="3">
        <f t="shared" si="14"/>
        <v>4850</v>
      </c>
      <c r="M479" s="3">
        <f t="shared" si="15"/>
        <v>2.9555149299207799</v>
      </c>
    </row>
    <row r="480" spans="1:13" x14ac:dyDescent="0.35">
      <c r="A480" t="s">
        <v>86</v>
      </c>
      <c r="B480" t="s">
        <v>20</v>
      </c>
      <c r="C480" t="s">
        <v>27</v>
      </c>
      <c r="D480" t="s">
        <v>22</v>
      </c>
      <c r="E480" t="s">
        <v>15</v>
      </c>
      <c r="F480" s="4">
        <v>1013</v>
      </c>
      <c r="G480" s="9" t="s">
        <v>994</v>
      </c>
      <c r="H480" s="1">
        <v>45187</v>
      </c>
      <c r="I480" t="s">
        <v>45</v>
      </c>
      <c r="J480" t="s">
        <v>995</v>
      </c>
      <c r="K480" t="s">
        <v>38</v>
      </c>
      <c r="L480" s="3">
        <f t="shared" si="14"/>
        <v>38304</v>
      </c>
      <c r="M480" s="3">
        <f t="shared" si="15"/>
        <v>37.812438302073048</v>
      </c>
    </row>
    <row r="481" spans="1:13" x14ac:dyDescent="0.35">
      <c r="A481" t="s">
        <v>26</v>
      </c>
      <c r="B481" t="s">
        <v>62</v>
      </c>
      <c r="C481" t="s">
        <v>33</v>
      </c>
      <c r="D481" t="s">
        <v>34</v>
      </c>
      <c r="E481" t="s">
        <v>43</v>
      </c>
      <c r="F481" s="4">
        <v>434</v>
      </c>
      <c r="G481" s="9" t="s">
        <v>996</v>
      </c>
      <c r="H481" s="1">
        <v>45496</v>
      </c>
      <c r="I481" t="s">
        <v>48</v>
      </c>
      <c r="J481" t="s">
        <v>997</v>
      </c>
      <c r="K481" t="s">
        <v>19</v>
      </c>
      <c r="L481" s="3">
        <f t="shared" si="14"/>
        <v>32258</v>
      </c>
      <c r="M481" s="3">
        <f t="shared" si="15"/>
        <v>74.327188940092171</v>
      </c>
    </row>
    <row r="482" spans="1:13" x14ac:dyDescent="0.35">
      <c r="A482" t="s">
        <v>86</v>
      </c>
      <c r="B482" t="s">
        <v>59</v>
      </c>
      <c r="C482" t="s">
        <v>33</v>
      </c>
      <c r="D482" t="s">
        <v>28</v>
      </c>
      <c r="E482">
        <v>30</v>
      </c>
      <c r="F482" s="4">
        <v>857</v>
      </c>
      <c r="G482" s="9" t="s">
        <v>998</v>
      </c>
      <c r="H482" s="1">
        <v>45168</v>
      </c>
      <c r="I482" t="s">
        <v>48</v>
      </c>
      <c r="J482" t="s">
        <v>999</v>
      </c>
      <c r="K482" t="s">
        <v>32</v>
      </c>
      <c r="L482" s="3">
        <f t="shared" si="14"/>
        <v>25111</v>
      </c>
      <c r="M482" s="3">
        <f t="shared" si="15"/>
        <v>29.301050175029172</v>
      </c>
    </row>
    <row r="483" spans="1:13" x14ac:dyDescent="0.35">
      <c r="A483" t="s">
        <v>26</v>
      </c>
      <c r="B483" t="s">
        <v>40</v>
      </c>
      <c r="C483" t="s">
        <v>21</v>
      </c>
      <c r="D483" t="s">
        <v>89</v>
      </c>
      <c r="E483">
        <v>30</v>
      </c>
      <c r="F483" s="4">
        <v>1215</v>
      </c>
      <c r="G483" s="9" t="s">
        <v>1000</v>
      </c>
      <c r="H483" s="1">
        <v>45434</v>
      </c>
      <c r="I483" t="s">
        <v>17</v>
      </c>
      <c r="J483" t="s">
        <v>1001</v>
      </c>
      <c r="K483" t="s">
        <v>56</v>
      </c>
      <c r="L483" s="3">
        <f t="shared" si="14"/>
        <v>3802</v>
      </c>
      <c r="M483" s="3">
        <f t="shared" si="15"/>
        <v>3.1292181069958849</v>
      </c>
    </row>
    <row r="484" spans="1:13" x14ac:dyDescent="0.35">
      <c r="A484" t="s">
        <v>26</v>
      </c>
      <c r="B484" t="s">
        <v>59</v>
      </c>
      <c r="C484" t="s">
        <v>33</v>
      </c>
      <c r="D484" t="s">
        <v>89</v>
      </c>
      <c r="E484">
        <v>60</v>
      </c>
      <c r="F484" s="4">
        <v>1206</v>
      </c>
      <c r="G484" s="9" t="s">
        <v>1002</v>
      </c>
      <c r="H484" s="1">
        <v>45208</v>
      </c>
      <c r="I484" t="s">
        <v>36</v>
      </c>
      <c r="J484" t="s">
        <v>1003</v>
      </c>
      <c r="K484" t="s">
        <v>32</v>
      </c>
      <c r="L484" s="3">
        <f t="shared" si="14"/>
        <v>30473</v>
      </c>
      <c r="M484" s="3">
        <f t="shared" si="15"/>
        <v>25.267827529021559</v>
      </c>
    </row>
    <row r="485" spans="1:13" x14ac:dyDescent="0.35">
      <c r="A485" t="s">
        <v>53</v>
      </c>
      <c r="B485" t="s">
        <v>40</v>
      </c>
      <c r="C485" t="s">
        <v>21</v>
      </c>
      <c r="D485" t="s">
        <v>14</v>
      </c>
      <c r="E485" t="s">
        <v>15</v>
      </c>
      <c r="F485" s="4">
        <v>1028</v>
      </c>
      <c r="G485" s="9" t="s">
        <v>1004</v>
      </c>
      <c r="H485" s="1">
        <v>45293</v>
      </c>
      <c r="I485" t="s">
        <v>45</v>
      </c>
      <c r="J485" t="s">
        <v>1005</v>
      </c>
      <c r="K485" t="s">
        <v>19</v>
      </c>
      <c r="L485" s="3">
        <f t="shared" si="14"/>
        <v>26345</v>
      </c>
      <c r="M485" s="3">
        <f t="shared" si="15"/>
        <v>25.627431906614785</v>
      </c>
    </row>
    <row r="486" spans="1:13" x14ac:dyDescent="0.35">
      <c r="A486" t="s">
        <v>11</v>
      </c>
      <c r="B486" t="s">
        <v>20</v>
      </c>
      <c r="C486" t="s">
        <v>77</v>
      </c>
      <c r="D486" t="s">
        <v>14</v>
      </c>
      <c r="E486" t="s">
        <v>23</v>
      </c>
      <c r="F486" s="4">
        <v>1821</v>
      </c>
      <c r="G486" s="9" t="s">
        <v>1006</v>
      </c>
      <c r="H486" s="1">
        <v>45143</v>
      </c>
      <c r="I486" t="s">
        <v>45</v>
      </c>
      <c r="J486" t="s">
        <v>1007</v>
      </c>
      <c r="K486" t="s">
        <v>19</v>
      </c>
      <c r="L486" s="3">
        <f t="shared" si="14"/>
        <v>49772</v>
      </c>
      <c r="M486" s="3">
        <f t="shared" si="15"/>
        <v>27.332235035694673</v>
      </c>
    </row>
    <row r="487" spans="1:13" x14ac:dyDescent="0.35">
      <c r="A487" t="s">
        <v>86</v>
      </c>
      <c r="B487" t="s">
        <v>62</v>
      </c>
      <c r="C487" t="s">
        <v>27</v>
      </c>
      <c r="D487" t="s">
        <v>14</v>
      </c>
      <c r="E487" t="s">
        <v>23</v>
      </c>
      <c r="F487" s="4">
        <v>187</v>
      </c>
      <c r="G487" s="9" t="s">
        <v>1008</v>
      </c>
      <c r="H487" s="1">
        <v>45431</v>
      </c>
      <c r="I487" t="s">
        <v>48</v>
      </c>
      <c r="J487" t="s">
        <v>1009</v>
      </c>
      <c r="K487" t="s">
        <v>56</v>
      </c>
      <c r="L487" s="3">
        <f t="shared" si="14"/>
        <v>33824</v>
      </c>
      <c r="M487" s="3">
        <f t="shared" si="15"/>
        <v>180.87700534759358</v>
      </c>
    </row>
    <row r="488" spans="1:13" x14ac:dyDescent="0.35">
      <c r="A488" t="s">
        <v>53</v>
      </c>
      <c r="B488" t="s">
        <v>62</v>
      </c>
      <c r="C488" t="s">
        <v>27</v>
      </c>
      <c r="D488" t="s">
        <v>89</v>
      </c>
      <c r="E488" t="s">
        <v>43</v>
      </c>
      <c r="F488" s="4">
        <v>1978</v>
      </c>
      <c r="G488" s="9" t="s">
        <v>1010</v>
      </c>
      <c r="H488" s="1">
        <v>45409</v>
      </c>
      <c r="I488" t="s">
        <v>17</v>
      </c>
      <c r="J488" t="s">
        <v>1011</v>
      </c>
      <c r="K488" t="s">
        <v>52</v>
      </c>
      <c r="L488" s="3">
        <f t="shared" si="14"/>
        <v>10298</v>
      </c>
      <c r="M488" s="3">
        <f t="shared" si="15"/>
        <v>5.2062689585439834</v>
      </c>
    </row>
    <row r="489" spans="1:13" x14ac:dyDescent="0.35">
      <c r="A489" t="s">
        <v>86</v>
      </c>
      <c r="B489" t="s">
        <v>12</v>
      </c>
      <c r="C489" t="s">
        <v>13</v>
      </c>
      <c r="D489" t="s">
        <v>28</v>
      </c>
      <c r="E489" t="s">
        <v>15</v>
      </c>
      <c r="F489" s="4">
        <v>310</v>
      </c>
      <c r="G489" s="9" t="s">
        <v>1012</v>
      </c>
      <c r="H489" s="1">
        <v>45281</v>
      </c>
      <c r="I489" t="s">
        <v>17</v>
      </c>
      <c r="J489" t="s">
        <v>1013</v>
      </c>
      <c r="K489" t="s">
        <v>56</v>
      </c>
      <c r="L489" s="3">
        <f t="shared" si="14"/>
        <v>8780</v>
      </c>
      <c r="M489" s="3">
        <f t="shared" si="15"/>
        <v>28.322580645161292</v>
      </c>
    </row>
    <row r="490" spans="1:13" x14ac:dyDescent="0.35">
      <c r="A490" t="s">
        <v>39</v>
      </c>
      <c r="B490" t="s">
        <v>40</v>
      </c>
      <c r="C490" t="s">
        <v>27</v>
      </c>
      <c r="D490" t="s">
        <v>22</v>
      </c>
      <c r="E490">
        <v>30</v>
      </c>
      <c r="F490" s="4">
        <v>1232</v>
      </c>
      <c r="G490" s="9" t="s">
        <v>1014</v>
      </c>
      <c r="H490" s="1">
        <v>45286</v>
      </c>
      <c r="I490" t="s">
        <v>30</v>
      </c>
      <c r="J490" t="s">
        <v>1015</v>
      </c>
      <c r="K490" t="s">
        <v>19</v>
      </c>
      <c r="L490" s="3">
        <f t="shared" si="14"/>
        <v>14892</v>
      </c>
      <c r="M490" s="3">
        <f t="shared" si="15"/>
        <v>12.087662337662337</v>
      </c>
    </row>
    <row r="491" spans="1:13" x14ac:dyDescent="0.35">
      <c r="A491" t="s">
        <v>26</v>
      </c>
      <c r="B491" t="s">
        <v>12</v>
      </c>
      <c r="C491" t="s">
        <v>13</v>
      </c>
      <c r="D491" t="s">
        <v>14</v>
      </c>
      <c r="E491" t="s">
        <v>23</v>
      </c>
      <c r="F491" s="4">
        <v>1147</v>
      </c>
      <c r="G491" s="9" t="s">
        <v>1016</v>
      </c>
      <c r="H491" s="1">
        <v>45263</v>
      </c>
      <c r="I491" t="s">
        <v>17</v>
      </c>
      <c r="J491" t="s">
        <v>1017</v>
      </c>
      <c r="K491" t="s">
        <v>56</v>
      </c>
      <c r="L491" s="3">
        <f t="shared" si="14"/>
        <v>31546</v>
      </c>
      <c r="M491" s="3">
        <f t="shared" si="15"/>
        <v>27.503051438535309</v>
      </c>
    </row>
    <row r="492" spans="1:13" x14ac:dyDescent="0.35">
      <c r="A492" t="s">
        <v>86</v>
      </c>
      <c r="B492" t="s">
        <v>40</v>
      </c>
      <c r="C492" t="s">
        <v>27</v>
      </c>
      <c r="D492" t="s">
        <v>34</v>
      </c>
      <c r="E492">
        <v>60</v>
      </c>
      <c r="F492" s="4">
        <v>157</v>
      </c>
      <c r="G492" s="9" t="s">
        <v>1018</v>
      </c>
      <c r="H492" s="1">
        <v>45177</v>
      </c>
      <c r="I492" t="s">
        <v>36</v>
      </c>
      <c r="J492" t="s">
        <v>1019</v>
      </c>
      <c r="K492" t="s">
        <v>56</v>
      </c>
      <c r="L492" s="3">
        <f t="shared" si="14"/>
        <v>25507</v>
      </c>
      <c r="M492" s="3">
        <f t="shared" si="15"/>
        <v>162.46496815286625</v>
      </c>
    </row>
    <row r="493" spans="1:13" x14ac:dyDescent="0.35">
      <c r="A493" t="s">
        <v>53</v>
      </c>
      <c r="B493" t="s">
        <v>20</v>
      </c>
      <c r="C493" t="s">
        <v>27</v>
      </c>
      <c r="D493" t="s">
        <v>14</v>
      </c>
      <c r="E493">
        <v>30</v>
      </c>
      <c r="F493" s="4">
        <v>110</v>
      </c>
      <c r="G493" s="9" t="s">
        <v>1020</v>
      </c>
      <c r="H493" s="1">
        <v>45417</v>
      </c>
      <c r="I493" t="s">
        <v>17</v>
      </c>
      <c r="J493" t="s">
        <v>1021</v>
      </c>
      <c r="K493" t="s">
        <v>19</v>
      </c>
      <c r="L493" s="3">
        <f t="shared" si="14"/>
        <v>48715</v>
      </c>
      <c r="M493" s="3">
        <f t="shared" si="15"/>
        <v>442.86363636363637</v>
      </c>
    </row>
    <row r="494" spans="1:13" x14ac:dyDescent="0.35">
      <c r="A494" t="s">
        <v>39</v>
      </c>
      <c r="B494" t="s">
        <v>40</v>
      </c>
      <c r="C494" t="s">
        <v>33</v>
      </c>
      <c r="D494" t="s">
        <v>28</v>
      </c>
      <c r="E494" t="s">
        <v>23</v>
      </c>
      <c r="F494" s="4">
        <v>1496</v>
      </c>
      <c r="G494" s="9" t="s">
        <v>1022</v>
      </c>
      <c r="H494" s="1">
        <v>45295</v>
      </c>
      <c r="I494" t="s">
        <v>45</v>
      </c>
      <c r="J494" t="s">
        <v>1023</v>
      </c>
      <c r="K494" t="s">
        <v>52</v>
      </c>
      <c r="L494" s="3">
        <f t="shared" si="14"/>
        <v>30359</v>
      </c>
      <c r="M494" s="3">
        <f t="shared" si="15"/>
        <v>20.293449197860962</v>
      </c>
    </row>
    <row r="495" spans="1:13" x14ac:dyDescent="0.35">
      <c r="A495" t="s">
        <v>86</v>
      </c>
      <c r="B495" t="s">
        <v>40</v>
      </c>
      <c r="C495" t="s">
        <v>77</v>
      </c>
      <c r="D495" t="s">
        <v>28</v>
      </c>
      <c r="E495" t="s">
        <v>15</v>
      </c>
      <c r="F495" s="4">
        <v>1677</v>
      </c>
      <c r="G495" s="9" t="s">
        <v>1024</v>
      </c>
      <c r="H495" s="1">
        <v>45421</v>
      </c>
      <c r="I495" t="s">
        <v>30</v>
      </c>
      <c r="J495" t="s">
        <v>1025</v>
      </c>
      <c r="K495" t="s">
        <v>19</v>
      </c>
      <c r="L495" s="3">
        <f t="shared" si="14"/>
        <v>14519</v>
      </c>
      <c r="M495" s="3">
        <f t="shared" si="15"/>
        <v>8.6577221228384023</v>
      </c>
    </row>
    <row r="496" spans="1:13" x14ac:dyDescent="0.35">
      <c r="A496" t="s">
        <v>39</v>
      </c>
      <c r="B496" t="s">
        <v>59</v>
      </c>
      <c r="C496" t="s">
        <v>77</v>
      </c>
      <c r="D496" t="s">
        <v>34</v>
      </c>
      <c r="E496">
        <v>30</v>
      </c>
      <c r="F496" s="4">
        <v>103</v>
      </c>
      <c r="G496" s="9" t="s">
        <v>1026</v>
      </c>
      <c r="H496" s="1">
        <v>45317</v>
      </c>
      <c r="I496" t="s">
        <v>48</v>
      </c>
      <c r="J496" t="s">
        <v>1027</v>
      </c>
      <c r="K496" t="s">
        <v>56</v>
      </c>
      <c r="L496" s="3">
        <f t="shared" si="14"/>
        <v>39963</v>
      </c>
      <c r="M496" s="3">
        <f t="shared" si="15"/>
        <v>387.99029126213594</v>
      </c>
    </row>
    <row r="497" spans="1:13" x14ac:dyDescent="0.35">
      <c r="A497" t="s">
        <v>86</v>
      </c>
      <c r="B497" t="s">
        <v>12</v>
      </c>
      <c r="C497" t="s">
        <v>21</v>
      </c>
      <c r="D497" t="s">
        <v>89</v>
      </c>
      <c r="E497">
        <v>30</v>
      </c>
      <c r="F497" s="4">
        <v>621</v>
      </c>
      <c r="G497" s="9" t="s">
        <v>1028</v>
      </c>
      <c r="H497" s="1">
        <v>45358</v>
      </c>
      <c r="I497" t="s">
        <v>30</v>
      </c>
      <c r="J497" t="s">
        <v>1029</v>
      </c>
      <c r="K497" t="s">
        <v>38</v>
      </c>
      <c r="L497" s="3">
        <f t="shared" si="14"/>
        <v>14108</v>
      </c>
      <c r="M497" s="3">
        <f t="shared" si="15"/>
        <v>22.718196457326894</v>
      </c>
    </row>
    <row r="498" spans="1:13" x14ac:dyDescent="0.35">
      <c r="A498" t="s">
        <v>11</v>
      </c>
      <c r="B498" t="s">
        <v>40</v>
      </c>
      <c r="C498" t="s">
        <v>13</v>
      </c>
      <c r="D498" t="s">
        <v>22</v>
      </c>
      <c r="E498">
        <v>30</v>
      </c>
      <c r="F498" s="4">
        <v>467</v>
      </c>
      <c r="G498" s="9" t="s">
        <v>1030</v>
      </c>
      <c r="H498" s="1">
        <v>45396</v>
      </c>
      <c r="I498" t="s">
        <v>48</v>
      </c>
      <c r="J498" t="s">
        <v>1031</v>
      </c>
      <c r="K498" t="s">
        <v>32</v>
      </c>
      <c r="L498" s="3">
        <f t="shared" si="14"/>
        <v>42438</v>
      </c>
      <c r="M498" s="3">
        <f t="shared" si="15"/>
        <v>90.873661670235549</v>
      </c>
    </row>
    <row r="499" spans="1:13" x14ac:dyDescent="0.35">
      <c r="A499" t="s">
        <v>53</v>
      </c>
      <c r="B499" t="s">
        <v>40</v>
      </c>
      <c r="C499" t="s">
        <v>77</v>
      </c>
      <c r="D499" t="s">
        <v>28</v>
      </c>
      <c r="E499">
        <v>60</v>
      </c>
      <c r="F499" s="4">
        <v>528</v>
      </c>
      <c r="G499" s="9" t="s">
        <v>1032</v>
      </c>
      <c r="H499" s="1">
        <v>45492</v>
      </c>
      <c r="I499" t="s">
        <v>36</v>
      </c>
      <c r="J499" t="s">
        <v>1033</v>
      </c>
      <c r="K499" t="s">
        <v>38</v>
      </c>
      <c r="L499" s="3">
        <f t="shared" si="14"/>
        <v>12478</v>
      </c>
      <c r="M499" s="3">
        <f t="shared" si="15"/>
        <v>23.632575757575758</v>
      </c>
    </row>
    <row r="500" spans="1:13" x14ac:dyDescent="0.35">
      <c r="A500" t="s">
        <v>11</v>
      </c>
      <c r="B500" t="s">
        <v>59</v>
      </c>
      <c r="C500" t="s">
        <v>77</v>
      </c>
      <c r="D500" t="s">
        <v>14</v>
      </c>
      <c r="E500">
        <v>30</v>
      </c>
      <c r="F500" s="4">
        <v>651</v>
      </c>
      <c r="G500" s="9" t="s">
        <v>1034</v>
      </c>
      <c r="H500" s="1">
        <v>45184</v>
      </c>
      <c r="I500" t="s">
        <v>30</v>
      </c>
      <c r="J500" t="s">
        <v>1035</v>
      </c>
      <c r="K500" t="s">
        <v>38</v>
      </c>
      <c r="L500" s="3">
        <f t="shared" si="14"/>
        <v>43294</v>
      </c>
      <c r="M500" s="3">
        <f t="shared" si="15"/>
        <v>66.503840245775734</v>
      </c>
    </row>
    <row r="501" spans="1:13" x14ac:dyDescent="0.35">
      <c r="A501" t="s">
        <v>39</v>
      </c>
      <c r="B501" t="s">
        <v>59</v>
      </c>
      <c r="C501" t="s">
        <v>27</v>
      </c>
      <c r="D501" t="s">
        <v>89</v>
      </c>
      <c r="E501" t="s">
        <v>23</v>
      </c>
      <c r="F501" s="4">
        <v>213</v>
      </c>
      <c r="G501" s="9" t="s">
        <v>1036</v>
      </c>
      <c r="H501" s="1">
        <v>45253</v>
      </c>
      <c r="I501" t="s">
        <v>36</v>
      </c>
      <c r="J501" t="s">
        <v>1037</v>
      </c>
      <c r="K501" t="s">
        <v>52</v>
      </c>
      <c r="L501" s="3">
        <f t="shared" si="14"/>
        <v>41727</v>
      </c>
      <c r="M501" s="3">
        <f t="shared" si="15"/>
        <v>195.90140845070422</v>
      </c>
    </row>
    <row r="502" spans="1:13" x14ac:dyDescent="0.35">
      <c r="A502" t="s">
        <v>53</v>
      </c>
      <c r="B502" t="s">
        <v>59</v>
      </c>
      <c r="C502" t="s">
        <v>21</v>
      </c>
      <c r="D502" t="s">
        <v>89</v>
      </c>
      <c r="E502" t="s">
        <v>15</v>
      </c>
      <c r="F502" s="4">
        <v>1808</v>
      </c>
      <c r="G502" s="9" t="s">
        <v>1038</v>
      </c>
      <c r="H502" s="1">
        <v>45365</v>
      </c>
      <c r="I502" t="s">
        <v>36</v>
      </c>
      <c r="J502" t="s">
        <v>1039</v>
      </c>
      <c r="K502" t="s">
        <v>32</v>
      </c>
      <c r="L502" s="3">
        <f t="shared" si="14"/>
        <v>18900</v>
      </c>
      <c r="M502" s="3">
        <f t="shared" si="15"/>
        <v>10.45353982300885</v>
      </c>
    </row>
    <row r="503" spans="1:13" x14ac:dyDescent="0.35">
      <c r="A503" t="s">
        <v>11</v>
      </c>
      <c r="B503" t="s">
        <v>62</v>
      </c>
      <c r="C503" t="s">
        <v>13</v>
      </c>
      <c r="D503" t="s">
        <v>14</v>
      </c>
      <c r="E503">
        <v>30</v>
      </c>
      <c r="F503" s="4">
        <v>979</v>
      </c>
      <c r="G503" s="9" t="s">
        <v>1040</v>
      </c>
      <c r="H503" s="1">
        <v>45274</v>
      </c>
      <c r="I503" t="s">
        <v>45</v>
      </c>
      <c r="J503" t="s">
        <v>1041</v>
      </c>
      <c r="K503" t="s">
        <v>52</v>
      </c>
      <c r="L503" s="3">
        <f t="shared" si="14"/>
        <v>33935</v>
      </c>
      <c r="M503" s="3">
        <f t="shared" si="15"/>
        <v>34.662921348314605</v>
      </c>
    </row>
    <row r="504" spans="1:13" x14ac:dyDescent="0.35">
      <c r="A504" t="s">
        <v>26</v>
      </c>
      <c r="B504" t="s">
        <v>12</v>
      </c>
      <c r="C504" t="s">
        <v>33</v>
      </c>
      <c r="D504" t="s">
        <v>14</v>
      </c>
      <c r="E504" t="s">
        <v>43</v>
      </c>
      <c r="F504" s="4">
        <v>903</v>
      </c>
      <c r="G504" s="9" t="s">
        <v>1042</v>
      </c>
      <c r="H504" s="1">
        <v>45191</v>
      </c>
      <c r="I504" t="s">
        <v>30</v>
      </c>
      <c r="J504" t="s">
        <v>1043</v>
      </c>
      <c r="K504" t="s">
        <v>52</v>
      </c>
      <c r="L504" s="3">
        <f t="shared" si="14"/>
        <v>29491</v>
      </c>
      <c r="M504" s="3">
        <f t="shared" si="15"/>
        <v>32.65891472868217</v>
      </c>
    </row>
    <row r="505" spans="1:13" x14ac:dyDescent="0.35">
      <c r="A505" t="s">
        <v>86</v>
      </c>
      <c r="B505" t="s">
        <v>62</v>
      </c>
      <c r="C505" t="s">
        <v>13</v>
      </c>
      <c r="D505" t="s">
        <v>22</v>
      </c>
      <c r="E505" t="s">
        <v>43</v>
      </c>
      <c r="F505" s="4">
        <v>1873</v>
      </c>
      <c r="G505" s="9" t="s">
        <v>1044</v>
      </c>
      <c r="H505" s="1">
        <v>45239</v>
      </c>
      <c r="I505" t="s">
        <v>17</v>
      </c>
      <c r="J505" t="s">
        <v>1045</v>
      </c>
      <c r="K505" t="s">
        <v>32</v>
      </c>
      <c r="L505" s="3">
        <f t="shared" si="14"/>
        <v>47958</v>
      </c>
      <c r="M505" s="3">
        <f t="shared" si="15"/>
        <v>25.604911906033102</v>
      </c>
    </row>
    <row r="506" spans="1:13" x14ac:dyDescent="0.35">
      <c r="A506" t="s">
        <v>86</v>
      </c>
      <c r="B506" t="s">
        <v>20</v>
      </c>
      <c r="C506" t="s">
        <v>77</v>
      </c>
      <c r="D506" t="s">
        <v>14</v>
      </c>
      <c r="E506">
        <v>30</v>
      </c>
      <c r="F506" s="4">
        <v>1575</v>
      </c>
      <c r="G506" s="9" t="s">
        <v>1046</v>
      </c>
      <c r="H506" s="1">
        <v>45285</v>
      </c>
      <c r="I506" t="s">
        <v>36</v>
      </c>
      <c r="J506" t="s">
        <v>1047</v>
      </c>
      <c r="K506" t="s">
        <v>19</v>
      </c>
      <c r="L506" s="3">
        <f t="shared" si="14"/>
        <v>39809</v>
      </c>
      <c r="M506" s="3">
        <f t="shared" si="15"/>
        <v>25.275555555555556</v>
      </c>
    </row>
    <row r="507" spans="1:13" x14ac:dyDescent="0.35">
      <c r="A507" t="s">
        <v>53</v>
      </c>
      <c r="B507" t="s">
        <v>40</v>
      </c>
      <c r="C507" t="s">
        <v>13</v>
      </c>
      <c r="D507" t="s">
        <v>28</v>
      </c>
      <c r="E507">
        <v>60</v>
      </c>
      <c r="F507" s="4">
        <v>1178</v>
      </c>
      <c r="G507" s="9" t="s">
        <v>1048</v>
      </c>
      <c r="H507" s="1">
        <v>45292</v>
      </c>
      <c r="I507" t="s">
        <v>36</v>
      </c>
      <c r="J507" t="s">
        <v>1049</v>
      </c>
      <c r="K507" t="s">
        <v>52</v>
      </c>
      <c r="L507" s="3">
        <f t="shared" si="14"/>
        <v>26564</v>
      </c>
      <c r="M507" s="3">
        <f t="shared" si="15"/>
        <v>22.550084889643465</v>
      </c>
    </row>
    <row r="508" spans="1:13" x14ac:dyDescent="0.35">
      <c r="A508" t="s">
        <v>39</v>
      </c>
      <c r="B508" t="s">
        <v>59</v>
      </c>
      <c r="C508" t="s">
        <v>77</v>
      </c>
      <c r="D508" t="s">
        <v>34</v>
      </c>
      <c r="E508">
        <v>30</v>
      </c>
      <c r="F508" s="4">
        <v>136</v>
      </c>
      <c r="G508" s="9" t="s">
        <v>1050</v>
      </c>
      <c r="H508" s="1">
        <v>45230</v>
      </c>
      <c r="I508" t="s">
        <v>45</v>
      </c>
      <c r="J508" t="s">
        <v>1051</v>
      </c>
      <c r="K508" t="s">
        <v>56</v>
      </c>
      <c r="L508" s="3">
        <f t="shared" si="14"/>
        <v>28942</v>
      </c>
      <c r="M508" s="3">
        <f t="shared" si="15"/>
        <v>212.80882352941177</v>
      </c>
    </row>
    <row r="509" spans="1:13" x14ac:dyDescent="0.35">
      <c r="A509" t="s">
        <v>39</v>
      </c>
      <c r="B509" t="s">
        <v>12</v>
      </c>
      <c r="C509" t="s">
        <v>13</v>
      </c>
      <c r="D509" t="s">
        <v>89</v>
      </c>
      <c r="E509" t="s">
        <v>15</v>
      </c>
      <c r="F509" s="4">
        <v>177</v>
      </c>
      <c r="G509" s="9" t="s">
        <v>1052</v>
      </c>
      <c r="H509" s="1">
        <v>45311</v>
      </c>
      <c r="I509" t="s">
        <v>45</v>
      </c>
      <c r="J509" t="s">
        <v>1053</v>
      </c>
      <c r="K509" t="s">
        <v>56</v>
      </c>
      <c r="L509" s="3">
        <f t="shared" si="14"/>
        <v>38415</v>
      </c>
      <c r="M509" s="3">
        <f t="shared" si="15"/>
        <v>217.03389830508473</v>
      </c>
    </row>
    <row r="510" spans="1:13" x14ac:dyDescent="0.35">
      <c r="A510" t="s">
        <v>39</v>
      </c>
      <c r="B510" t="s">
        <v>40</v>
      </c>
      <c r="C510" t="s">
        <v>27</v>
      </c>
      <c r="D510" t="s">
        <v>22</v>
      </c>
      <c r="E510" t="s">
        <v>43</v>
      </c>
      <c r="F510" s="4">
        <v>267</v>
      </c>
      <c r="G510" s="9" t="s">
        <v>1054</v>
      </c>
      <c r="H510" s="1">
        <v>45347</v>
      </c>
      <c r="I510" t="s">
        <v>30</v>
      </c>
      <c r="J510" t="s">
        <v>1055</v>
      </c>
      <c r="K510" t="s">
        <v>52</v>
      </c>
      <c r="L510" s="3">
        <f t="shared" si="14"/>
        <v>37982</v>
      </c>
      <c r="M510" s="3">
        <f t="shared" si="15"/>
        <v>142.25468164794009</v>
      </c>
    </row>
    <row r="511" spans="1:13" x14ac:dyDescent="0.35">
      <c r="A511" t="s">
        <v>53</v>
      </c>
      <c r="B511" t="s">
        <v>59</v>
      </c>
      <c r="C511" t="s">
        <v>77</v>
      </c>
      <c r="D511" t="s">
        <v>34</v>
      </c>
      <c r="E511" t="s">
        <v>43</v>
      </c>
      <c r="F511" s="4">
        <v>539</v>
      </c>
      <c r="G511" s="9" t="s">
        <v>1056</v>
      </c>
      <c r="H511" s="1">
        <v>45466</v>
      </c>
      <c r="I511" t="s">
        <v>17</v>
      </c>
      <c r="J511" t="s">
        <v>1057</v>
      </c>
      <c r="K511" t="s">
        <v>32</v>
      </c>
      <c r="L511" s="3">
        <f t="shared" si="14"/>
        <v>28332</v>
      </c>
      <c r="M511" s="3">
        <f t="shared" si="15"/>
        <v>52.564007421150279</v>
      </c>
    </row>
    <row r="512" spans="1:13" x14ac:dyDescent="0.35">
      <c r="A512" t="s">
        <v>11</v>
      </c>
      <c r="B512" t="s">
        <v>59</v>
      </c>
      <c r="C512" t="s">
        <v>21</v>
      </c>
      <c r="D512" t="s">
        <v>14</v>
      </c>
      <c r="E512" t="s">
        <v>23</v>
      </c>
      <c r="F512" s="4">
        <v>1637</v>
      </c>
      <c r="G512" s="9" t="s">
        <v>1058</v>
      </c>
      <c r="H512" s="1">
        <v>45280</v>
      </c>
      <c r="I512" t="s">
        <v>17</v>
      </c>
      <c r="J512" t="s">
        <v>1059</v>
      </c>
      <c r="K512" t="s">
        <v>38</v>
      </c>
      <c r="L512" s="3">
        <f t="shared" si="14"/>
        <v>28078</v>
      </c>
      <c r="M512" s="3">
        <f t="shared" si="15"/>
        <v>17.152107513744657</v>
      </c>
    </row>
    <row r="513" spans="1:13" x14ac:dyDescent="0.35">
      <c r="A513" t="s">
        <v>26</v>
      </c>
      <c r="B513" t="s">
        <v>40</v>
      </c>
      <c r="C513" t="s">
        <v>33</v>
      </c>
      <c r="D513" t="s">
        <v>14</v>
      </c>
      <c r="E513" t="s">
        <v>15</v>
      </c>
      <c r="F513" s="4">
        <v>895</v>
      </c>
      <c r="G513" s="9" t="s">
        <v>1060</v>
      </c>
      <c r="H513" s="1">
        <v>45398</v>
      </c>
      <c r="I513" t="s">
        <v>30</v>
      </c>
      <c r="J513" t="s">
        <v>1061</v>
      </c>
      <c r="K513" t="s">
        <v>32</v>
      </c>
      <c r="L513" s="3">
        <f t="shared" si="14"/>
        <v>1117</v>
      </c>
      <c r="M513" s="3">
        <f t="shared" si="15"/>
        <v>1.2480446927374302</v>
      </c>
    </row>
    <row r="514" spans="1:13" x14ac:dyDescent="0.35">
      <c r="A514" t="s">
        <v>53</v>
      </c>
      <c r="B514" t="s">
        <v>62</v>
      </c>
      <c r="C514" t="s">
        <v>77</v>
      </c>
      <c r="D514" t="s">
        <v>14</v>
      </c>
      <c r="E514" t="s">
        <v>15</v>
      </c>
      <c r="F514" s="4">
        <v>545</v>
      </c>
      <c r="G514" s="9" t="s">
        <v>1062</v>
      </c>
      <c r="H514" s="1">
        <v>45366</v>
      </c>
      <c r="I514" t="s">
        <v>30</v>
      </c>
      <c r="J514" t="s">
        <v>1063</v>
      </c>
      <c r="K514" t="s">
        <v>19</v>
      </c>
      <c r="L514" s="3">
        <f t="shared" ref="L514:L577" si="16">VALUE(SUBSTITUTE(G514,"$",""))</f>
        <v>7812</v>
      </c>
      <c r="M514" s="3">
        <f t="shared" si="15"/>
        <v>14.333944954128441</v>
      </c>
    </row>
    <row r="515" spans="1:13" x14ac:dyDescent="0.35">
      <c r="A515" t="s">
        <v>86</v>
      </c>
      <c r="B515" t="s">
        <v>59</v>
      </c>
      <c r="C515" t="s">
        <v>77</v>
      </c>
      <c r="D515" t="s">
        <v>34</v>
      </c>
      <c r="E515">
        <v>60</v>
      </c>
      <c r="F515" s="4">
        <v>809</v>
      </c>
      <c r="G515" s="9" t="s">
        <v>562</v>
      </c>
      <c r="H515" s="1">
        <v>45162</v>
      </c>
      <c r="I515" t="s">
        <v>36</v>
      </c>
      <c r="J515" t="s">
        <v>1064</v>
      </c>
      <c r="K515" t="s">
        <v>32</v>
      </c>
      <c r="L515" s="3">
        <f t="shared" si="16"/>
        <v>34972</v>
      </c>
      <c r="M515" s="3">
        <f t="shared" ref="M515:M578" si="17">VALUE(SUBSTITUTE(SUBSTITUTE(G515,"$",""),",",""))/F515</f>
        <v>43.228677379480843</v>
      </c>
    </row>
    <row r="516" spans="1:13" x14ac:dyDescent="0.35">
      <c r="A516" t="s">
        <v>26</v>
      </c>
      <c r="B516" t="s">
        <v>20</v>
      </c>
      <c r="C516" t="s">
        <v>27</v>
      </c>
      <c r="D516" t="s">
        <v>28</v>
      </c>
      <c r="E516" t="s">
        <v>15</v>
      </c>
      <c r="F516" s="4">
        <v>251</v>
      </c>
      <c r="G516" s="9" t="s">
        <v>1065</v>
      </c>
      <c r="H516" s="1">
        <v>45145</v>
      </c>
      <c r="I516" t="s">
        <v>45</v>
      </c>
      <c r="J516" t="s">
        <v>1066</v>
      </c>
      <c r="K516" t="s">
        <v>38</v>
      </c>
      <c r="L516" s="3">
        <f t="shared" si="16"/>
        <v>33441</v>
      </c>
      <c r="M516" s="3">
        <f t="shared" si="17"/>
        <v>133.23107569721117</v>
      </c>
    </row>
    <row r="517" spans="1:13" x14ac:dyDescent="0.35">
      <c r="A517" t="s">
        <v>86</v>
      </c>
      <c r="B517" t="s">
        <v>20</v>
      </c>
      <c r="C517" t="s">
        <v>21</v>
      </c>
      <c r="D517" t="s">
        <v>14</v>
      </c>
      <c r="E517" t="s">
        <v>15</v>
      </c>
      <c r="F517" s="4">
        <v>954</v>
      </c>
      <c r="G517" s="9" t="s">
        <v>1067</v>
      </c>
      <c r="H517" s="1">
        <v>45158</v>
      </c>
      <c r="I517" t="s">
        <v>30</v>
      </c>
      <c r="J517" t="s">
        <v>1068</v>
      </c>
      <c r="K517" t="s">
        <v>38</v>
      </c>
      <c r="L517" s="3">
        <f t="shared" si="16"/>
        <v>6130</v>
      </c>
      <c r="M517" s="3">
        <f t="shared" si="17"/>
        <v>6.4255765199161425</v>
      </c>
    </row>
    <row r="518" spans="1:13" x14ac:dyDescent="0.35">
      <c r="A518" t="s">
        <v>11</v>
      </c>
      <c r="B518" t="s">
        <v>40</v>
      </c>
      <c r="C518" t="s">
        <v>77</v>
      </c>
      <c r="D518" t="s">
        <v>22</v>
      </c>
      <c r="E518" t="s">
        <v>15</v>
      </c>
      <c r="F518" s="4">
        <v>1105</v>
      </c>
      <c r="G518" s="9" t="s">
        <v>1069</v>
      </c>
      <c r="H518" s="1">
        <v>45216</v>
      </c>
      <c r="I518" t="s">
        <v>48</v>
      </c>
      <c r="J518" t="s">
        <v>1070</v>
      </c>
      <c r="K518" t="s">
        <v>32</v>
      </c>
      <c r="L518" s="3">
        <f t="shared" si="16"/>
        <v>9186</v>
      </c>
      <c r="M518" s="3">
        <f t="shared" si="17"/>
        <v>8.313122171945702</v>
      </c>
    </row>
    <row r="519" spans="1:13" x14ac:dyDescent="0.35">
      <c r="A519" t="s">
        <v>53</v>
      </c>
      <c r="B519" t="s">
        <v>62</v>
      </c>
      <c r="C519" t="s">
        <v>27</v>
      </c>
      <c r="D519" t="s">
        <v>28</v>
      </c>
      <c r="E519" t="s">
        <v>15</v>
      </c>
      <c r="F519" s="4">
        <v>280</v>
      </c>
      <c r="G519" s="9" t="s">
        <v>1071</v>
      </c>
      <c r="H519" s="1">
        <v>45385</v>
      </c>
      <c r="I519" t="s">
        <v>36</v>
      </c>
      <c r="J519" t="s">
        <v>1072</v>
      </c>
      <c r="K519" t="s">
        <v>38</v>
      </c>
      <c r="L519" s="3">
        <f t="shared" si="16"/>
        <v>41256</v>
      </c>
      <c r="M519" s="3">
        <f t="shared" si="17"/>
        <v>147.34285714285716</v>
      </c>
    </row>
    <row r="520" spans="1:13" x14ac:dyDescent="0.35">
      <c r="A520" t="s">
        <v>39</v>
      </c>
      <c r="B520" t="s">
        <v>62</v>
      </c>
      <c r="C520" t="s">
        <v>77</v>
      </c>
      <c r="D520" t="s">
        <v>89</v>
      </c>
      <c r="E520">
        <v>30</v>
      </c>
      <c r="F520" s="4">
        <v>357</v>
      </c>
      <c r="G520" s="9" t="s">
        <v>1073</v>
      </c>
      <c r="H520" s="1">
        <v>45445</v>
      </c>
      <c r="I520" t="s">
        <v>17</v>
      </c>
      <c r="J520" t="s">
        <v>1074</v>
      </c>
      <c r="K520" t="s">
        <v>52</v>
      </c>
      <c r="L520" s="3">
        <f t="shared" si="16"/>
        <v>2350</v>
      </c>
      <c r="M520" s="3">
        <f t="shared" si="17"/>
        <v>6.5826330532212882</v>
      </c>
    </row>
    <row r="521" spans="1:13" x14ac:dyDescent="0.35">
      <c r="A521" t="s">
        <v>11</v>
      </c>
      <c r="B521" t="s">
        <v>40</v>
      </c>
      <c r="C521" t="s">
        <v>21</v>
      </c>
      <c r="D521" t="s">
        <v>28</v>
      </c>
      <c r="E521">
        <v>60</v>
      </c>
      <c r="F521" s="4">
        <v>1476</v>
      </c>
      <c r="G521" s="9" t="s">
        <v>1075</v>
      </c>
      <c r="H521" s="1">
        <v>45188</v>
      </c>
      <c r="I521" t="s">
        <v>36</v>
      </c>
      <c r="J521" t="s">
        <v>1076</v>
      </c>
      <c r="K521" t="s">
        <v>38</v>
      </c>
      <c r="L521" s="3">
        <f t="shared" si="16"/>
        <v>21861</v>
      </c>
      <c r="M521" s="3">
        <f t="shared" si="17"/>
        <v>14.810975609756097</v>
      </c>
    </row>
    <row r="522" spans="1:13" x14ac:dyDescent="0.35">
      <c r="A522" t="s">
        <v>26</v>
      </c>
      <c r="B522" t="s">
        <v>40</v>
      </c>
      <c r="C522" t="s">
        <v>21</v>
      </c>
      <c r="D522" t="s">
        <v>34</v>
      </c>
      <c r="E522" t="s">
        <v>23</v>
      </c>
      <c r="F522" s="4">
        <v>1448</v>
      </c>
      <c r="G522" s="9" t="s">
        <v>1077</v>
      </c>
      <c r="H522" s="1">
        <v>45268</v>
      </c>
      <c r="I522" t="s">
        <v>45</v>
      </c>
      <c r="J522" t="s">
        <v>1078</v>
      </c>
      <c r="K522" t="s">
        <v>19</v>
      </c>
      <c r="L522" s="3">
        <f t="shared" si="16"/>
        <v>37724</v>
      </c>
      <c r="M522" s="3">
        <f t="shared" si="17"/>
        <v>26.052486187845304</v>
      </c>
    </row>
    <row r="523" spans="1:13" x14ac:dyDescent="0.35">
      <c r="A523" t="s">
        <v>86</v>
      </c>
      <c r="B523" t="s">
        <v>59</v>
      </c>
      <c r="C523" t="s">
        <v>77</v>
      </c>
      <c r="D523" t="s">
        <v>14</v>
      </c>
      <c r="E523" t="s">
        <v>15</v>
      </c>
      <c r="F523" s="4">
        <v>1191</v>
      </c>
      <c r="G523" s="9" t="s">
        <v>1079</v>
      </c>
      <c r="H523" s="1">
        <v>45251</v>
      </c>
      <c r="I523" t="s">
        <v>45</v>
      </c>
      <c r="J523" t="s">
        <v>1080</v>
      </c>
      <c r="K523" t="s">
        <v>32</v>
      </c>
      <c r="L523" s="3">
        <f t="shared" si="16"/>
        <v>27570</v>
      </c>
      <c r="M523" s="3">
        <f t="shared" si="17"/>
        <v>23.148614609571787</v>
      </c>
    </row>
    <row r="524" spans="1:13" x14ac:dyDescent="0.35">
      <c r="A524" t="s">
        <v>11</v>
      </c>
      <c r="B524" t="s">
        <v>20</v>
      </c>
      <c r="C524" t="s">
        <v>21</v>
      </c>
      <c r="D524" t="s">
        <v>89</v>
      </c>
      <c r="E524" t="s">
        <v>15</v>
      </c>
      <c r="F524" s="4">
        <v>451</v>
      </c>
      <c r="G524" s="9" t="s">
        <v>1081</v>
      </c>
      <c r="H524" s="1">
        <v>45388</v>
      </c>
      <c r="I524" t="s">
        <v>48</v>
      </c>
      <c r="J524" t="s">
        <v>1082</v>
      </c>
      <c r="K524" t="s">
        <v>38</v>
      </c>
      <c r="L524" s="3">
        <f t="shared" si="16"/>
        <v>18899</v>
      </c>
      <c r="M524" s="3">
        <f t="shared" si="17"/>
        <v>41.904656319290467</v>
      </c>
    </row>
    <row r="525" spans="1:13" x14ac:dyDescent="0.35">
      <c r="A525" t="s">
        <v>11</v>
      </c>
      <c r="B525" t="s">
        <v>12</v>
      </c>
      <c r="C525" t="s">
        <v>27</v>
      </c>
      <c r="D525" t="s">
        <v>28</v>
      </c>
      <c r="E525">
        <v>60</v>
      </c>
      <c r="F525" s="4">
        <v>1978</v>
      </c>
      <c r="G525" s="9" t="s">
        <v>1083</v>
      </c>
      <c r="H525" s="1">
        <v>45447</v>
      </c>
      <c r="I525" t="s">
        <v>45</v>
      </c>
      <c r="J525" t="s">
        <v>273</v>
      </c>
      <c r="K525" t="s">
        <v>38</v>
      </c>
      <c r="L525" s="3">
        <f t="shared" si="16"/>
        <v>23993</v>
      </c>
      <c r="M525" s="3">
        <f t="shared" si="17"/>
        <v>12.129929221435793</v>
      </c>
    </row>
    <row r="526" spans="1:13" x14ac:dyDescent="0.35">
      <c r="A526" t="s">
        <v>86</v>
      </c>
      <c r="B526" t="s">
        <v>40</v>
      </c>
      <c r="C526" t="s">
        <v>33</v>
      </c>
      <c r="D526" t="s">
        <v>34</v>
      </c>
      <c r="E526" t="s">
        <v>23</v>
      </c>
      <c r="F526" s="4">
        <v>403</v>
      </c>
      <c r="G526" s="9" t="s">
        <v>1084</v>
      </c>
      <c r="H526" s="1">
        <v>45367</v>
      </c>
      <c r="I526" t="s">
        <v>17</v>
      </c>
      <c r="J526" t="s">
        <v>1085</v>
      </c>
      <c r="K526" t="s">
        <v>32</v>
      </c>
      <c r="L526" s="3">
        <f t="shared" si="16"/>
        <v>4075</v>
      </c>
      <c r="M526" s="3">
        <f t="shared" si="17"/>
        <v>10.11166253101737</v>
      </c>
    </row>
    <row r="527" spans="1:13" x14ac:dyDescent="0.35">
      <c r="A527" t="s">
        <v>86</v>
      </c>
      <c r="B527" t="s">
        <v>20</v>
      </c>
      <c r="C527" t="s">
        <v>21</v>
      </c>
      <c r="D527" t="s">
        <v>34</v>
      </c>
      <c r="E527" t="s">
        <v>15</v>
      </c>
      <c r="F527" s="4">
        <v>309</v>
      </c>
      <c r="G527" s="9" t="s">
        <v>865</v>
      </c>
      <c r="H527" s="1">
        <v>45359</v>
      </c>
      <c r="I527" t="s">
        <v>48</v>
      </c>
      <c r="J527" t="s">
        <v>1086</v>
      </c>
      <c r="K527" t="s">
        <v>32</v>
      </c>
      <c r="L527" s="3">
        <f t="shared" si="16"/>
        <v>38835</v>
      </c>
      <c r="M527" s="3">
        <f t="shared" si="17"/>
        <v>125.67961165048544</v>
      </c>
    </row>
    <row r="528" spans="1:13" x14ac:dyDescent="0.35">
      <c r="A528" t="s">
        <v>39</v>
      </c>
      <c r="B528" t="s">
        <v>12</v>
      </c>
      <c r="C528" t="s">
        <v>33</v>
      </c>
      <c r="D528" t="s">
        <v>34</v>
      </c>
      <c r="E528" t="s">
        <v>43</v>
      </c>
      <c r="F528" s="4">
        <v>1448</v>
      </c>
      <c r="G528" s="9" t="s">
        <v>1087</v>
      </c>
      <c r="H528" s="1">
        <v>45268</v>
      </c>
      <c r="I528" t="s">
        <v>17</v>
      </c>
      <c r="J528" t="s">
        <v>1088</v>
      </c>
      <c r="K528" t="s">
        <v>56</v>
      </c>
      <c r="L528" s="3">
        <f t="shared" si="16"/>
        <v>13865</v>
      </c>
      <c r="M528" s="3">
        <f t="shared" si="17"/>
        <v>9.5752762430939224</v>
      </c>
    </row>
    <row r="529" spans="1:13" x14ac:dyDescent="0.35">
      <c r="A529" t="s">
        <v>86</v>
      </c>
      <c r="B529" t="s">
        <v>12</v>
      </c>
      <c r="C529" t="s">
        <v>21</v>
      </c>
      <c r="D529" t="s">
        <v>14</v>
      </c>
      <c r="E529" t="s">
        <v>15</v>
      </c>
      <c r="F529" s="4">
        <v>704</v>
      </c>
      <c r="G529" s="9" t="s">
        <v>1089</v>
      </c>
      <c r="H529" s="1">
        <v>45308</v>
      </c>
      <c r="I529" t="s">
        <v>30</v>
      </c>
      <c r="J529" t="s">
        <v>1090</v>
      </c>
      <c r="K529" t="s">
        <v>19</v>
      </c>
      <c r="L529" s="3">
        <f t="shared" si="16"/>
        <v>12836</v>
      </c>
      <c r="M529" s="3">
        <f t="shared" si="17"/>
        <v>18.232954545454547</v>
      </c>
    </row>
    <row r="530" spans="1:13" x14ac:dyDescent="0.35">
      <c r="A530" t="s">
        <v>11</v>
      </c>
      <c r="B530" t="s">
        <v>59</v>
      </c>
      <c r="C530" t="s">
        <v>77</v>
      </c>
      <c r="D530" t="s">
        <v>34</v>
      </c>
      <c r="E530">
        <v>30</v>
      </c>
      <c r="F530" s="4">
        <v>165</v>
      </c>
      <c r="G530" s="9" t="s">
        <v>1091</v>
      </c>
      <c r="H530" s="1">
        <v>45484</v>
      </c>
      <c r="I530" t="s">
        <v>30</v>
      </c>
      <c r="J530" t="s">
        <v>1092</v>
      </c>
      <c r="K530" t="s">
        <v>38</v>
      </c>
      <c r="L530" s="3">
        <f t="shared" si="16"/>
        <v>32484</v>
      </c>
      <c r="M530" s="3">
        <f t="shared" si="17"/>
        <v>196.87272727272727</v>
      </c>
    </row>
    <row r="531" spans="1:13" x14ac:dyDescent="0.35">
      <c r="A531" t="s">
        <v>11</v>
      </c>
      <c r="B531" t="s">
        <v>12</v>
      </c>
      <c r="C531" t="s">
        <v>27</v>
      </c>
      <c r="D531" t="s">
        <v>89</v>
      </c>
      <c r="E531" t="s">
        <v>43</v>
      </c>
      <c r="F531" s="4">
        <v>1824</v>
      </c>
      <c r="G531" s="9" t="s">
        <v>1093</v>
      </c>
      <c r="H531" s="1">
        <v>45271</v>
      </c>
      <c r="I531" t="s">
        <v>17</v>
      </c>
      <c r="J531" t="s">
        <v>1094</v>
      </c>
      <c r="K531" t="s">
        <v>32</v>
      </c>
      <c r="L531" s="3">
        <f t="shared" si="16"/>
        <v>12594</v>
      </c>
      <c r="M531" s="3">
        <f t="shared" si="17"/>
        <v>6.9046052631578947</v>
      </c>
    </row>
    <row r="532" spans="1:13" x14ac:dyDescent="0.35">
      <c r="A532" t="s">
        <v>53</v>
      </c>
      <c r="B532" t="s">
        <v>59</v>
      </c>
      <c r="C532" t="s">
        <v>13</v>
      </c>
      <c r="D532" t="s">
        <v>28</v>
      </c>
      <c r="E532" t="s">
        <v>43</v>
      </c>
      <c r="F532" s="4">
        <v>1553</v>
      </c>
      <c r="G532" s="9" t="s">
        <v>1095</v>
      </c>
      <c r="H532" s="1">
        <v>45154</v>
      </c>
      <c r="I532" t="s">
        <v>45</v>
      </c>
      <c r="J532" t="s">
        <v>1096</v>
      </c>
      <c r="K532" t="s">
        <v>38</v>
      </c>
      <c r="L532" s="3">
        <f t="shared" si="16"/>
        <v>35920</v>
      </c>
      <c r="M532" s="3">
        <f t="shared" si="17"/>
        <v>23.129426915647134</v>
      </c>
    </row>
    <row r="533" spans="1:13" x14ac:dyDescent="0.35">
      <c r="A533" t="s">
        <v>26</v>
      </c>
      <c r="B533" t="s">
        <v>12</v>
      </c>
      <c r="C533" t="s">
        <v>13</v>
      </c>
      <c r="D533" t="s">
        <v>89</v>
      </c>
      <c r="E533">
        <v>30</v>
      </c>
      <c r="F533" s="4">
        <v>1114</v>
      </c>
      <c r="G533" s="9" t="s">
        <v>1097</v>
      </c>
      <c r="H533" s="1">
        <v>45213</v>
      </c>
      <c r="I533" t="s">
        <v>30</v>
      </c>
      <c r="J533" t="s">
        <v>1098</v>
      </c>
      <c r="K533" t="s">
        <v>32</v>
      </c>
      <c r="L533" s="3">
        <f t="shared" si="16"/>
        <v>45080</v>
      </c>
      <c r="M533" s="3">
        <f t="shared" si="17"/>
        <v>40.466786355475762</v>
      </c>
    </row>
    <row r="534" spans="1:13" x14ac:dyDescent="0.35">
      <c r="A534" t="s">
        <v>39</v>
      </c>
      <c r="B534" t="s">
        <v>59</v>
      </c>
      <c r="C534" t="s">
        <v>21</v>
      </c>
      <c r="D534" t="s">
        <v>14</v>
      </c>
      <c r="E534">
        <v>60</v>
      </c>
      <c r="F534" s="4">
        <v>1746</v>
      </c>
      <c r="G534" s="9" t="s">
        <v>1099</v>
      </c>
      <c r="H534" s="1">
        <v>45237</v>
      </c>
      <c r="I534" t="s">
        <v>36</v>
      </c>
      <c r="J534" t="s">
        <v>1100</v>
      </c>
      <c r="K534" t="s">
        <v>56</v>
      </c>
      <c r="L534" s="3">
        <f t="shared" si="16"/>
        <v>7097</v>
      </c>
      <c r="M534" s="3">
        <f t="shared" si="17"/>
        <v>4.0647193585337913</v>
      </c>
    </row>
    <row r="535" spans="1:13" x14ac:dyDescent="0.35">
      <c r="A535" t="s">
        <v>86</v>
      </c>
      <c r="B535" t="s">
        <v>40</v>
      </c>
      <c r="C535" t="s">
        <v>27</v>
      </c>
      <c r="D535" t="s">
        <v>34</v>
      </c>
      <c r="E535">
        <v>30</v>
      </c>
      <c r="F535" s="4">
        <v>1468</v>
      </c>
      <c r="G535" s="9" t="s">
        <v>1101</v>
      </c>
      <c r="H535" s="1">
        <v>45403</v>
      </c>
      <c r="I535" t="s">
        <v>17</v>
      </c>
      <c r="J535" t="s">
        <v>1102</v>
      </c>
      <c r="K535" t="s">
        <v>56</v>
      </c>
      <c r="L535" s="3">
        <f t="shared" si="16"/>
        <v>32272</v>
      </c>
      <c r="M535" s="3">
        <f t="shared" si="17"/>
        <v>21.983651226158038</v>
      </c>
    </row>
    <row r="536" spans="1:13" x14ac:dyDescent="0.35">
      <c r="A536" t="s">
        <v>11</v>
      </c>
      <c r="B536" t="s">
        <v>40</v>
      </c>
      <c r="C536" t="s">
        <v>33</v>
      </c>
      <c r="D536" t="s">
        <v>22</v>
      </c>
      <c r="E536" t="s">
        <v>15</v>
      </c>
      <c r="F536" s="4">
        <v>230</v>
      </c>
      <c r="G536" s="9" t="s">
        <v>1103</v>
      </c>
      <c r="H536" s="1">
        <v>45391</v>
      </c>
      <c r="I536" t="s">
        <v>45</v>
      </c>
      <c r="J536" t="s">
        <v>1104</v>
      </c>
      <c r="K536" t="s">
        <v>19</v>
      </c>
      <c r="L536" s="3">
        <f t="shared" si="16"/>
        <v>41305</v>
      </c>
      <c r="M536" s="3">
        <f t="shared" si="17"/>
        <v>179.58695652173913</v>
      </c>
    </row>
    <row r="537" spans="1:13" x14ac:dyDescent="0.35">
      <c r="A537" t="s">
        <v>26</v>
      </c>
      <c r="B537" t="s">
        <v>20</v>
      </c>
      <c r="C537" t="s">
        <v>27</v>
      </c>
      <c r="D537" t="s">
        <v>22</v>
      </c>
      <c r="E537" t="s">
        <v>15</v>
      </c>
      <c r="F537" s="4">
        <v>776</v>
      </c>
      <c r="G537" s="9" t="s">
        <v>1105</v>
      </c>
      <c r="H537" s="1">
        <v>45396</v>
      </c>
      <c r="I537" t="s">
        <v>36</v>
      </c>
      <c r="J537" t="s">
        <v>1106</v>
      </c>
      <c r="K537" t="s">
        <v>32</v>
      </c>
      <c r="L537" s="3">
        <f t="shared" si="16"/>
        <v>6165</v>
      </c>
      <c r="M537" s="3">
        <f t="shared" si="17"/>
        <v>7.9445876288659791</v>
      </c>
    </row>
    <row r="538" spans="1:13" x14ac:dyDescent="0.35">
      <c r="A538" t="s">
        <v>26</v>
      </c>
      <c r="B538" t="s">
        <v>12</v>
      </c>
      <c r="C538" t="s">
        <v>13</v>
      </c>
      <c r="D538" t="s">
        <v>22</v>
      </c>
      <c r="E538" t="s">
        <v>15</v>
      </c>
      <c r="F538" s="4">
        <v>1071</v>
      </c>
      <c r="G538" s="9" t="s">
        <v>1107</v>
      </c>
      <c r="H538" s="1">
        <v>45178</v>
      </c>
      <c r="I538" t="s">
        <v>45</v>
      </c>
      <c r="J538" t="s">
        <v>1108</v>
      </c>
      <c r="K538" t="s">
        <v>32</v>
      </c>
      <c r="L538" s="3">
        <f t="shared" si="16"/>
        <v>3760</v>
      </c>
      <c r="M538" s="3">
        <f t="shared" si="17"/>
        <v>3.5107376283846872</v>
      </c>
    </row>
    <row r="539" spans="1:13" x14ac:dyDescent="0.35">
      <c r="A539" t="s">
        <v>11</v>
      </c>
      <c r="B539" t="s">
        <v>62</v>
      </c>
      <c r="C539" t="s">
        <v>27</v>
      </c>
      <c r="D539" t="s">
        <v>22</v>
      </c>
      <c r="E539" t="s">
        <v>15</v>
      </c>
      <c r="F539" s="4">
        <v>1137</v>
      </c>
      <c r="G539" s="9" t="s">
        <v>1109</v>
      </c>
      <c r="H539" s="1">
        <v>45253</v>
      </c>
      <c r="I539" t="s">
        <v>45</v>
      </c>
      <c r="J539" t="s">
        <v>1110</v>
      </c>
      <c r="K539" t="s">
        <v>56</v>
      </c>
      <c r="L539" s="3">
        <f t="shared" si="16"/>
        <v>1699</v>
      </c>
      <c r="M539" s="3">
        <f t="shared" si="17"/>
        <v>1.494283201407212</v>
      </c>
    </row>
    <row r="540" spans="1:13" x14ac:dyDescent="0.35">
      <c r="A540" t="s">
        <v>53</v>
      </c>
      <c r="B540" t="s">
        <v>59</v>
      </c>
      <c r="C540" t="s">
        <v>27</v>
      </c>
      <c r="D540" t="s">
        <v>34</v>
      </c>
      <c r="E540">
        <v>60</v>
      </c>
      <c r="F540" s="4">
        <v>787</v>
      </c>
      <c r="G540" s="9" t="s">
        <v>1111</v>
      </c>
      <c r="H540" s="1">
        <v>45452</v>
      </c>
      <c r="I540" t="s">
        <v>17</v>
      </c>
      <c r="J540" t="s">
        <v>1112</v>
      </c>
      <c r="K540" t="s">
        <v>52</v>
      </c>
      <c r="L540" s="3">
        <f t="shared" si="16"/>
        <v>47912</v>
      </c>
      <c r="M540" s="3">
        <f t="shared" si="17"/>
        <v>60.879288437102922</v>
      </c>
    </row>
    <row r="541" spans="1:13" x14ac:dyDescent="0.35">
      <c r="A541" t="s">
        <v>86</v>
      </c>
      <c r="B541" t="s">
        <v>59</v>
      </c>
      <c r="C541" t="s">
        <v>33</v>
      </c>
      <c r="D541" t="s">
        <v>89</v>
      </c>
      <c r="E541">
        <v>30</v>
      </c>
      <c r="F541" s="4">
        <v>1479</v>
      </c>
      <c r="G541" s="9" t="s">
        <v>1113</v>
      </c>
      <c r="H541" s="1">
        <v>45473</v>
      </c>
      <c r="I541" t="s">
        <v>17</v>
      </c>
      <c r="J541" t="s">
        <v>1114</v>
      </c>
      <c r="K541" t="s">
        <v>38</v>
      </c>
      <c r="L541" s="3">
        <f t="shared" si="16"/>
        <v>33505</v>
      </c>
      <c r="M541" s="3">
        <f t="shared" si="17"/>
        <v>22.653820148749155</v>
      </c>
    </row>
    <row r="542" spans="1:13" x14ac:dyDescent="0.35">
      <c r="A542" t="s">
        <v>39</v>
      </c>
      <c r="B542" t="s">
        <v>40</v>
      </c>
      <c r="C542" t="s">
        <v>27</v>
      </c>
      <c r="D542" t="s">
        <v>22</v>
      </c>
      <c r="E542" t="s">
        <v>23</v>
      </c>
      <c r="F542" s="4">
        <v>405</v>
      </c>
      <c r="G542" s="9" t="s">
        <v>1115</v>
      </c>
      <c r="H542" s="1">
        <v>45233</v>
      </c>
      <c r="I542" t="s">
        <v>17</v>
      </c>
      <c r="J542" t="s">
        <v>1116</v>
      </c>
      <c r="K542" t="s">
        <v>52</v>
      </c>
      <c r="L542" s="3">
        <f t="shared" si="16"/>
        <v>23360</v>
      </c>
      <c r="M542" s="3">
        <f t="shared" si="17"/>
        <v>57.679012345679013</v>
      </c>
    </row>
    <row r="543" spans="1:13" x14ac:dyDescent="0.35">
      <c r="A543" t="s">
        <v>39</v>
      </c>
      <c r="B543" t="s">
        <v>12</v>
      </c>
      <c r="C543" t="s">
        <v>21</v>
      </c>
      <c r="D543" t="s">
        <v>28</v>
      </c>
      <c r="E543" t="s">
        <v>43</v>
      </c>
      <c r="F543" s="4">
        <v>470</v>
      </c>
      <c r="G543" s="9" t="s">
        <v>1117</v>
      </c>
      <c r="H543" s="1">
        <v>45232</v>
      </c>
      <c r="I543" t="s">
        <v>17</v>
      </c>
      <c r="J543" t="s">
        <v>1118</v>
      </c>
      <c r="K543" t="s">
        <v>52</v>
      </c>
      <c r="L543" s="3">
        <f t="shared" si="16"/>
        <v>45836</v>
      </c>
      <c r="M543" s="3">
        <f t="shared" si="17"/>
        <v>97.52340425531915</v>
      </c>
    </row>
    <row r="544" spans="1:13" x14ac:dyDescent="0.35">
      <c r="A544" t="s">
        <v>86</v>
      </c>
      <c r="B544" t="s">
        <v>12</v>
      </c>
      <c r="C544" t="s">
        <v>27</v>
      </c>
      <c r="D544" t="s">
        <v>34</v>
      </c>
      <c r="E544" t="s">
        <v>15</v>
      </c>
      <c r="F544" s="4">
        <v>1864</v>
      </c>
      <c r="G544" s="9" t="s">
        <v>1119</v>
      </c>
      <c r="H544" s="1">
        <v>45403</v>
      </c>
      <c r="I544" t="s">
        <v>17</v>
      </c>
      <c r="J544" t="s">
        <v>1120</v>
      </c>
      <c r="K544" t="s">
        <v>38</v>
      </c>
      <c r="L544" s="3">
        <f t="shared" si="16"/>
        <v>26663</v>
      </c>
      <c r="M544" s="3">
        <f t="shared" si="17"/>
        <v>14.304184549356224</v>
      </c>
    </row>
    <row r="545" spans="1:13" x14ac:dyDescent="0.35">
      <c r="A545" t="s">
        <v>11</v>
      </c>
      <c r="B545" t="s">
        <v>20</v>
      </c>
      <c r="C545" t="s">
        <v>13</v>
      </c>
      <c r="D545" t="s">
        <v>22</v>
      </c>
      <c r="E545" t="s">
        <v>15</v>
      </c>
      <c r="F545" s="4">
        <v>1610</v>
      </c>
      <c r="G545" s="9" t="s">
        <v>1121</v>
      </c>
      <c r="H545" s="1">
        <v>45215</v>
      </c>
      <c r="I545" t="s">
        <v>45</v>
      </c>
      <c r="J545" t="s">
        <v>1122</v>
      </c>
      <c r="K545" t="s">
        <v>19</v>
      </c>
      <c r="L545" s="3">
        <f t="shared" si="16"/>
        <v>22700</v>
      </c>
      <c r="M545" s="3">
        <f t="shared" si="17"/>
        <v>14.099378881987578</v>
      </c>
    </row>
    <row r="546" spans="1:13" x14ac:dyDescent="0.35">
      <c r="A546" t="s">
        <v>53</v>
      </c>
      <c r="B546" t="s">
        <v>20</v>
      </c>
      <c r="C546" t="s">
        <v>21</v>
      </c>
      <c r="D546" t="s">
        <v>34</v>
      </c>
      <c r="E546" t="s">
        <v>43</v>
      </c>
      <c r="F546" s="4">
        <v>1247</v>
      </c>
      <c r="G546" s="9" t="s">
        <v>1123</v>
      </c>
      <c r="H546" s="1">
        <v>45243</v>
      </c>
      <c r="I546" t="s">
        <v>30</v>
      </c>
      <c r="J546" t="s">
        <v>1124</v>
      </c>
      <c r="K546" t="s">
        <v>32</v>
      </c>
      <c r="L546" s="3">
        <f t="shared" si="16"/>
        <v>23054</v>
      </c>
      <c r="M546" s="3">
        <f t="shared" si="17"/>
        <v>18.487570168404169</v>
      </c>
    </row>
    <row r="547" spans="1:13" x14ac:dyDescent="0.35">
      <c r="A547" t="s">
        <v>26</v>
      </c>
      <c r="B547" t="s">
        <v>12</v>
      </c>
      <c r="C547" t="s">
        <v>33</v>
      </c>
      <c r="D547" t="s">
        <v>28</v>
      </c>
      <c r="E547">
        <v>60</v>
      </c>
      <c r="F547" s="4">
        <v>1515</v>
      </c>
      <c r="G547" s="9" t="s">
        <v>1125</v>
      </c>
      <c r="H547" s="1">
        <v>45290</v>
      </c>
      <c r="I547" t="s">
        <v>48</v>
      </c>
      <c r="J547" t="s">
        <v>1126</v>
      </c>
      <c r="K547" t="s">
        <v>32</v>
      </c>
      <c r="L547" s="3">
        <f t="shared" si="16"/>
        <v>37393</v>
      </c>
      <c r="M547" s="3">
        <f t="shared" si="17"/>
        <v>24.681848184818481</v>
      </c>
    </row>
    <row r="548" spans="1:13" x14ac:dyDescent="0.35">
      <c r="A548" t="s">
        <v>26</v>
      </c>
      <c r="B548" t="s">
        <v>20</v>
      </c>
      <c r="C548" t="s">
        <v>77</v>
      </c>
      <c r="D548" t="s">
        <v>22</v>
      </c>
      <c r="E548">
        <v>30</v>
      </c>
      <c r="F548" s="4">
        <v>1064</v>
      </c>
      <c r="G548" s="9" t="s">
        <v>1127</v>
      </c>
      <c r="H548" s="1">
        <v>45485</v>
      </c>
      <c r="I548" t="s">
        <v>45</v>
      </c>
      <c r="J548" t="s">
        <v>1128</v>
      </c>
      <c r="K548" t="s">
        <v>52</v>
      </c>
      <c r="L548" s="3">
        <f t="shared" si="16"/>
        <v>11558</v>
      </c>
      <c r="M548" s="3">
        <f t="shared" si="17"/>
        <v>10.862781954887218</v>
      </c>
    </row>
    <row r="549" spans="1:13" x14ac:dyDescent="0.35">
      <c r="A549" t="s">
        <v>53</v>
      </c>
      <c r="B549" t="s">
        <v>62</v>
      </c>
      <c r="C549" t="s">
        <v>77</v>
      </c>
      <c r="D549" t="s">
        <v>14</v>
      </c>
      <c r="E549" t="s">
        <v>15</v>
      </c>
      <c r="F549" s="4">
        <v>336</v>
      </c>
      <c r="G549" s="9" t="s">
        <v>1129</v>
      </c>
      <c r="H549" s="1">
        <v>45166</v>
      </c>
      <c r="I549" t="s">
        <v>36</v>
      </c>
      <c r="J549" t="s">
        <v>1130</v>
      </c>
      <c r="K549" t="s">
        <v>56</v>
      </c>
      <c r="L549" s="3">
        <f t="shared" si="16"/>
        <v>7855</v>
      </c>
      <c r="M549" s="3">
        <f t="shared" si="17"/>
        <v>23.37797619047619</v>
      </c>
    </row>
    <row r="550" spans="1:13" x14ac:dyDescent="0.35">
      <c r="A550" t="s">
        <v>39</v>
      </c>
      <c r="B550" t="s">
        <v>40</v>
      </c>
      <c r="C550" t="s">
        <v>13</v>
      </c>
      <c r="D550" t="s">
        <v>22</v>
      </c>
      <c r="E550" t="s">
        <v>15</v>
      </c>
      <c r="F550" s="4">
        <v>1334</v>
      </c>
      <c r="G550" s="9" t="s">
        <v>1131</v>
      </c>
      <c r="H550" s="1">
        <v>45279</v>
      </c>
      <c r="I550" t="s">
        <v>48</v>
      </c>
      <c r="J550" t="s">
        <v>1132</v>
      </c>
      <c r="K550" t="s">
        <v>38</v>
      </c>
      <c r="L550" s="3">
        <f t="shared" si="16"/>
        <v>30566</v>
      </c>
      <c r="M550" s="3">
        <f t="shared" si="17"/>
        <v>22.913043478260871</v>
      </c>
    </row>
    <row r="551" spans="1:13" x14ac:dyDescent="0.35">
      <c r="A551" t="s">
        <v>86</v>
      </c>
      <c r="B551" t="s">
        <v>20</v>
      </c>
      <c r="C551" t="s">
        <v>21</v>
      </c>
      <c r="D551" t="s">
        <v>22</v>
      </c>
      <c r="E551" t="s">
        <v>23</v>
      </c>
      <c r="F551" s="4">
        <v>472</v>
      </c>
      <c r="G551" s="9" t="s">
        <v>1133</v>
      </c>
      <c r="H551" s="1">
        <v>45280</v>
      </c>
      <c r="I551" t="s">
        <v>36</v>
      </c>
      <c r="J551" t="s">
        <v>1134</v>
      </c>
      <c r="K551" t="s">
        <v>32</v>
      </c>
      <c r="L551" s="3">
        <f t="shared" si="16"/>
        <v>23247</v>
      </c>
      <c r="M551" s="3">
        <f t="shared" si="17"/>
        <v>49.252118644067799</v>
      </c>
    </row>
    <row r="552" spans="1:13" x14ac:dyDescent="0.35">
      <c r="A552" t="s">
        <v>86</v>
      </c>
      <c r="B552" t="s">
        <v>40</v>
      </c>
      <c r="C552" t="s">
        <v>27</v>
      </c>
      <c r="D552" t="s">
        <v>28</v>
      </c>
      <c r="E552" t="s">
        <v>23</v>
      </c>
      <c r="F552" s="4">
        <v>169</v>
      </c>
      <c r="G552" s="9" t="s">
        <v>1135</v>
      </c>
      <c r="H552" s="1">
        <v>45322</v>
      </c>
      <c r="I552" t="s">
        <v>45</v>
      </c>
      <c r="J552" t="s">
        <v>1136</v>
      </c>
      <c r="K552" t="s">
        <v>38</v>
      </c>
      <c r="L552" s="3">
        <f t="shared" si="16"/>
        <v>18665</v>
      </c>
      <c r="M552" s="3">
        <f t="shared" si="17"/>
        <v>110.44378698224853</v>
      </c>
    </row>
    <row r="553" spans="1:13" x14ac:dyDescent="0.35">
      <c r="A553" t="s">
        <v>39</v>
      </c>
      <c r="B553" t="s">
        <v>59</v>
      </c>
      <c r="C553" t="s">
        <v>77</v>
      </c>
      <c r="D553" t="s">
        <v>14</v>
      </c>
      <c r="E553" t="s">
        <v>23</v>
      </c>
      <c r="F553" s="4">
        <v>150</v>
      </c>
      <c r="G553" s="9" t="s">
        <v>1137</v>
      </c>
      <c r="H553" s="1">
        <v>45217</v>
      </c>
      <c r="I553" t="s">
        <v>48</v>
      </c>
      <c r="J553" t="s">
        <v>1138</v>
      </c>
      <c r="K553" t="s">
        <v>56</v>
      </c>
      <c r="L553" s="3">
        <f t="shared" si="16"/>
        <v>8735</v>
      </c>
      <c r="M553" s="3">
        <f t="shared" si="17"/>
        <v>58.233333333333334</v>
      </c>
    </row>
    <row r="554" spans="1:13" x14ac:dyDescent="0.35">
      <c r="A554" t="s">
        <v>86</v>
      </c>
      <c r="B554" t="s">
        <v>40</v>
      </c>
      <c r="C554" t="s">
        <v>33</v>
      </c>
      <c r="D554" t="s">
        <v>14</v>
      </c>
      <c r="E554" t="s">
        <v>43</v>
      </c>
      <c r="F554" s="4">
        <v>1503</v>
      </c>
      <c r="G554" s="9" t="s">
        <v>688</v>
      </c>
      <c r="H554" s="1">
        <v>45209</v>
      </c>
      <c r="I554" t="s">
        <v>48</v>
      </c>
      <c r="J554" t="s">
        <v>1139</v>
      </c>
      <c r="K554" t="s">
        <v>19</v>
      </c>
      <c r="L554" s="3">
        <f t="shared" si="16"/>
        <v>19148</v>
      </c>
      <c r="M554" s="3">
        <f t="shared" si="17"/>
        <v>12.739853626081171</v>
      </c>
    </row>
    <row r="555" spans="1:13" x14ac:dyDescent="0.35">
      <c r="A555" t="s">
        <v>53</v>
      </c>
      <c r="B555" t="s">
        <v>20</v>
      </c>
      <c r="C555" t="s">
        <v>77</v>
      </c>
      <c r="D555" t="s">
        <v>14</v>
      </c>
      <c r="E555" t="s">
        <v>15</v>
      </c>
      <c r="F555" s="4">
        <v>355</v>
      </c>
      <c r="G555" s="9" t="s">
        <v>1140</v>
      </c>
      <c r="H555" s="1">
        <v>45430</v>
      </c>
      <c r="I555" t="s">
        <v>48</v>
      </c>
      <c r="J555" t="s">
        <v>1141</v>
      </c>
      <c r="K555" t="s">
        <v>32</v>
      </c>
      <c r="L555" s="3">
        <f t="shared" si="16"/>
        <v>33093</v>
      </c>
      <c r="M555" s="3">
        <f t="shared" si="17"/>
        <v>93.219718309859161</v>
      </c>
    </row>
    <row r="556" spans="1:13" x14ac:dyDescent="0.35">
      <c r="A556" t="s">
        <v>53</v>
      </c>
      <c r="B556" t="s">
        <v>12</v>
      </c>
      <c r="C556" t="s">
        <v>33</v>
      </c>
      <c r="D556" t="s">
        <v>14</v>
      </c>
      <c r="E556" t="s">
        <v>15</v>
      </c>
      <c r="F556" s="4">
        <v>1215</v>
      </c>
      <c r="G556" s="9" t="s">
        <v>1142</v>
      </c>
      <c r="H556" s="1">
        <v>45260</v>
      </c>
      <c r="I556" t="s">
        <v>48</v>
      </c>
      <c r="J556" t="s">
        <v>1143</v>
      </c>
      <c r="K556" t="s">
        <v>38</v>
      </c>
      <c r="L556" s="3">
        <f t="shared" si="16"/>
        <v>12727</v>
      </c>
      <c r="M556" s="3">
        <f t="shared" si="17"/>
        <v>10.474897119341565</v>
      </c>
    </row>
    <row r="557" spans="1:13" x14ac:dyDescent="0.35">
      <c r="A557" t="s">
        <v>86</v>
      </c>
      <c r="B557" t="s">
        <v>40</v>
      </c>
      <c r="C557" t="s">
        <v>13</v>
      </c>
      <c r="D557" t="s">
        <v>28</v>
      </c>
      <c r="E557" t="s">
        <v>15</v>
      </c>
      <c r="F557" s="4">
        <v>857</v>
      </c>
      <c r="G557" s="9" t="s">
        <v>1144</v>
      </c>
      <c r="H557" s="1">
        <v>45163</v>
      </c>
      <c r="I557" t="s">
        <v>36</v>
      </c>
      <c r="J557" t="s">
        <v>1145</v>
      </c>
      <c r="K557" t="s">
        <v>38</v>
      </c>
      <c r="L557" s="3">
        <f t="shared" si="16"/>
        <v>26479</v>
      </c>
      <c r="M557" s="3">
        <f t="shared" si="17"/>
        <v>30.897316219369895</v>
      </c>
    </row>
    <row r="558" spans="1:13" x14ac:dyDescent="0.35">
      <c r="A558" t="s">
        <v>26</v>
      </c>
      <c r="B558" t="s">
        <v>12</v>
      </c>
      <c r="C558" t="s">
        <v>21</v>
      </c>
      <c r="D558" t="s">
        <v>89</v>
      </c>
      <c r="E558" t="s">
        <v>23</v>
      </c>
      <c r="F558" s="4">
        <v>914</v>
      </c>
      <c r="G558" s="9" t="s">
        <v>1146</v>
      </c>
      <c r="H558" s="1">
        <v>45343</v>
      </c>
      <c r="I558" t="s">
        <v>30</v>
      </c>
      <c r="J558" t="s">
        <v>1147</v>
      </c>
      <c r="K558" t="s">
        <v>32</v>
      </c>
      <c r="L558" s="3">
        <f t="shared" si="16"/>
        <v>28345</v>
      </c>
      <c r="M558" s="3">
        <f t="shared" si="17"/>
        <v>31.01203501094092</v>
      </c>
    </row>
    <row r="559" spans="1:13" x14ac:dyDescent="0.35">
      <c r="A559" t="s">
        <v>26</v>
      </c>
      <c r="B559" t="s">
        <v>40</v>
      </c>
      <c r="C559" t="s">
        <v>13</v>
      </c>
      <c r="D559" t="s">
        <v>14</v>
      </c>
      <c r="E559" t="s">
        <v>23</v>
      </c>
      <c r="F559" s="4">
        <v>1513</v>
      </c>
      <c r="G559" s="9" t="s">
        <v>1148</v>
      </c>
      <c r="H559" s="1">
        <v>45501</v>
      </c>
      <c r="I559" t="s">
        <v>17</v>
      </c>
      <c r="J559" t="s">
        <v>1149</v>
      </c>
      <c r="K559" t="s">
        <v>56</v>
      </c>
      <c r="L559" s="3">
        <f t="shared" si="16"/>
        <v>16791</v>
      </c>
      <c r="M559" s="3">
        <f t="shared" si="17"/>
        <v>11.097818902842036</v>
      </c>
    </row>
    <row r="560" spans="1:13" x14ac:dyDescent="0.35">
      <c r="A560" t="s">
        <v>86</v>
      </c>
      <c r="B560" t="s">
        <v>40</v>
      </c>
      <c r="C560" t="s">
        <v>33</v>
      </c>
      <c r="D560" t="s">
        <v>22</v>
      </c>
      <c r="E560" t="s">
        <v>23</v>
      </c>
      <c r="F560" s="4">
        <v>809</v>
      </c>
      <c r="G560" s="9" t="s">
        <v>1150</v>
      </c>
      <c r="H560" s="1">
        <v>45188</v>
      </c>
      <c r="I560" t="s">
        <v>17</v>
      </c>
      <c r="J560" t="s">
        <v>1151</v>
      </c>
      <c r="K560" t="s">
        <v>52</v>
      </c>
      <c r="L560" s="3">
        <f t="shared" si="16"/>
        <v>1788</v>
      </c>
      <c r="M560" s="3">
        <f t="shared" si="17"/>
        <v>2.2101359703337455</v>
      </c>
    </row>
    <row r="561" spans="1:13" x14ac:dyDescent="0.35">
      <c r="A561" t="s">
        <v>53</v>
      </c>
      <c r="B561" t="s">
        <v>20</v>
      </c>
      <c r="C561" t="s">
        <v>13</v>
      </c>
      <c r="D561" t="s">
        <v>34</v>
      </c>
      <c r="E561" t="s">
        <v>43</v>
      </c>
      <c r="F561" s="4">
        <v>1696</v>
      </c>
      <c r="G561" s="9" t="s">
        <v>1152</v>
      </c>
      <c r="H561" s="1">
        <v>45378</v>
      </c>
      <c r="I561" t="s">
        <v>30</v>
      </c>
      <c r="J561" t="s">
        <v>1153</v>
      </c>
      <c r="K561" t="s">
        <v>38</v>
      </c>
      <c r="L561" s="3">
        <f t="shared" si="16"/>
        <v>42076</v>
      </c>
      <c r="M561" s="3">
        <f t="shared" si="17"/>
        <v>24.808962264150942</v>
      </c>
    </row>
    <row r="562" spans="1:13" x14ac:dyDescent="0.35">
      <c r="A562" t="s">
        <v>86</v>
      </c>
      <c r="B562" t="s">
        <v>40</v>
      </c>
      <c r="C562" t="s">
        <v>21</v>
      </c>
      <c r="D562" t="s">
        <v>22</v>
      </c>
      <c r="E562" t="s">
        <v>15</v>
      </c>
      <c r="F562" s="4">
        <v>1943</v>
      </c>
      <c r="G562" s="9" t="s">
        <v>1154</v>
      </c>
      <c r="H562" s="1">
        <v>45395</v>
      </c>
      <c r="I562" t="s">
        <v>48</v>
      </c>
      <c r="J562" t="s">
        <v>1155</v>
      </c>
      <c r="K562" t="s">
        <v>52</v>
      </c>
      <c r="L562" s="3">
        <f t="shared" si="16"/>
        <v>42637</v>
      </c>
      <c r="M562" s="3">
        <f t="shared" si="17"/>
        <v>21.943901183736489</v>
      </c>
    </row>
    <row r="563" spans="1:13" x14ac:dyDescent="0.35">
      <c r="A563" t="s">
        <v>11</v>
      </c>
      <c r="B563" t="s">
        <v>12</v>
      </c>
      <c r="C563" t="s">
        <v>21</v>
      </c>
      <c r="D563" t="s">
        <v>14</v>
      </c>
      <c r="E563" t="s">
        <v>43</v>
      </c>
      <c r="F563" s="4">
        <v>794</v>
      </c>
      <c r="G563" s="9" t="s">
        <v>1156</v>
      </c>
      <c r="H563" s="1">
        <v>45396</v>
      </c>
      <c r="I563" t="s">
        <v>30</v>
      </c>
      <c r="J563" t="s">
        <v>1157</v>
      </c>
      <c r="K563" t="s">
        <v>32</v>
      </c>
      <c r="L563" s="3">
        <f t="shared" si="16"/>
        <v>5918</v>
      </c>
      <c r="M563" s="3">
        <f t="shared" si="17"/>
        <v>7.4534005037783375</v>
      </c>
    </row>
    <row r="564" spans="1:13" x14ac:dyDescent="0.35">
      <c r="A564" t="s">
        <v>53</v>
      </c>
      <c r="B564" t="s">
        <v>59</v>
      </c>
      <c r="C564" t="s">
        <v>21</v>
      </c>
      <c r="D564" t="s">
        <v>22</v>
      </c>
      <c r="E564">
        <v>60</v>
      </c>
      <c r="F564" s="4">
        <v>601</v>
      </c>
      <c r="G564" s="9" t="s">
        <v>1158</v>
      </c>
      <c r="H564" s="1">
        <v>45471</v>
      </c>
      <c r="I564" t="s">
        <v>45</v>
      </c>
      <c r="J564" t="s">
        <v>1159</v>
      </c>
      <c r="K564" t="s">
        <v>38</v>
      </c>
      <c r="L564" s="3">
        <f t="shared" si="16"/>
        <v>7096</v>
      </c>
      <c r="M564" s="3">
        <f t="shared" si="17"/>
        <v>11.806988352745424</v>
      </c>
    </row>
    <row r="565" spans="1:13" x14ac:dyDescent="0.35">
      <c r="A565" t="s">
        <v>86</v>
      </c>
      <c r="B565" t="s">
        <v>12</v>
      </c>
      <c r="C565" t="s">
        <v>21</v>
      </c>
      <c r="D565" t="s">
        <v>14</v>
      </c>
      <c r="E565">
        <v>30</v>
      </c>
      <c r="F565" s="4">
        <v>1954</v>
      </c>
      <c r="G565" s="9" t="s">
        <v>1160</v>
      </c>
      <c r="H565" s="1">
        <v>45280</v>
      </c>
      <c r="I565" t="s">
        <v>30</v>
      </c>
      <c r="J565" t="s">
        <v>1161</v>
      </c>
      <c r="K565" t="s">
        <v>52</v>
      </c>
      <c r="L565" s="3">
        <f t="shared" si="16"/>
        <v>14676</v>
      </c>
      <c r="M565" s="3">
        <f t="shared" si="17"/>
        <v>7.5107471852610033</v>
      </c>
    </row>
    <row r="566" spans="1:13" x14ac:dyDescent="0.35">
      <c r="A566" t="s">
        <v>86</v>
      </c>
      <c r="B566" t="s">
        <v>59</v>
      </c>
      <c r="C566" t="s">
        <v>13</v>
      </c>
      <c r="D566" t="s">
        <v>34</v>
      </c>
      <c r="E566">
        <v>30</v>
      </c>
      <c r="F566" s="4">
        <v>301</v>
      </c>
      <c r="G566" s="9" t="s">
        <v>1162</v>
      </c>
      <c r="H566" s="1">
        <v>45209</v>
      </c>
      <c r="I566" t="s">
        <v>30</v>
      </c>
      <c r="J566" t="s">
        <v>1163</v>
      </c>
      <c r="K566" t="s">
        <v>38</v>
      </c>
      <c r="L566" s="3">
        <f t="shared" si="16"/>
        <v>28337</v>
      </c>
      <c r="M566" s="3">
        <f t="shared" si="17"/>
        <v>94.142857142857139</v>
      </c>
    </row>
    <row r="567" spans="1:13" x14ac:dyDescent="0.35">
      <c r="A567" t="s">
        <v>86</v>
      </c>
      <c r="B567" t="s">
        <v>62</v>
      </c>
      <c r="C567" t="s">
        <v>21</v>
      </c>
      <c r="D567" t="s">
        <v>89</v>
      </c>
      <c r="E567" t="s">
        <v>15</v>
      </c>
      <c r="F567" s="4">
        <v>648</v>
      </c>
      <c r="G567" s="9" t="s">
        <v>1164</v>
      </c>
      <c r="H567" s="1">
        <v>45453</v>
      </c>
      <c r="I567" t="s">
        <v>17</v>
      </c>
      <c r="J567" t="s">
        <v>1165</v>
      </c>
      <c r="K567" t="s">
        <v>52</v>
      </c>
      <c r="L567" s="3">
        <f t="shared" si="16"/>
        <v>34565</v>
      </c>
      <c r="M567" s="3">
        <f t="shared" si="17"/>
        <v>53.341049382716051</v>
      </c>
    </row>
    <row r="568" spans="1:13" x14ac:dyDescent="0.35">
      <c r="A568" t="s">
        <v>26</v>
      </c>
      <c r="B568" t="s">
        <v>12</v>
      </c>
      <c r="C568" t="s">
        <v>33</v>
      </c>
      <c r="D568" t="s">
        <v>34</v>
      </c>
      <c r="E568" t="s">
        <v>15</v>
      </c>
      <c r="F568" s="4">
        <v>508</v>
      </c>
      <c r="G568" s="9" t="s">
        <v>1166</v>
      </c>
      <c r="H568" s="1">
        <v>45225</v>
      </c>
      <c r="I568" t="s">
        <v>30</v>
      </c>
      <c r="J568" t="s">
        <v>1167</v>
      </c>
      <c r="K568" t="s">
        <v>32</v>
      </c>
      <c r="L568" s="3">
        <f t="shared" si="16"/>
        <v>9190</v>
      </c>
      <c r="M568" s="3">
        <f t="shared" si="17"/>
        <v>18.090551181102363</v>
      </c>
    </row>
    <row r="569" spans="1:13" x14ac:dyDescent="0.35">
      <c r="A569" t="s">
        <v>26</v>
      </c>
      <c r="B569" t="s">
        <v>59</v>
      </c>
      <c r="C569" t="s">
        <v>33</v>
      </c>
      <c r="D569" t="s">
        <v>14</v>
      </c>
      <c r="E569">
        <v>30</v>
      </c>
      <c r="F569" s="4">
        <v>1259</v>
      </c>
      <c r="G569" s="9" t="s">
        <v>1168</v>
      </c>
      <c r="H569" s="1">
        <v>45204</v>
      </c>
      <c r="I569" t="s">
        <v>45</v>
      </c>
      <c r="J569" t="s">
        <v>1169</v>
      </c>
      <c r="K569" t="s">
        <v>52</v>
      </c>
      <c r="L569" s="3">
        <f t="shared" si="16"/>
        <v>21505</v>
      </c>
      <c r="M569" s="3">
        <f t="shared" si="17"/>
        <v>17.081016679904685</v>
      </c>
    </row>
    <row r="570" spans="1:13" x14ac:dyDescent="0.35">
      <c r="A570" t="s">
        <v>39</v>
      </c>
      <c r="B570" t="s">
        <v>59</v>
      </c>
      <c r="C570" t="s">
        <v>33</v>
      </c>
      <c r="D570" t="s">
        <v>14</v>
      </c>
      <c r="E570">
        <v>60</v>
      </c>
      <c r="F570" s="4">
        <v>1922</v>
      </c>
      <c r="G570" s="9" t="s">
        <v>1170</v>
      </c>
      <c r="H570" s="1">
        <v>45287</v>
      </c>
      <c r="I570" t="s">
        <v>30</v>
      </c>
      <c r="J570" t="s">
        <v>1171</v>
      </c>
      <c r="K570" t="s">
        <v>32</v>
      </c>
      <c r="L570" s="3">
        <f t="shared" si="16"/>
        <v>5404</v>
      </c>
      <c r="M570" s="3">
        <f t="shared" si="17"/>
        <v>2.8116545265348596</v>
      </c>
    </row>
    <row r="571" spans="1:13" x14ac:dyDescent="0.35">
      <c r="A571" t="s">
        <v>39</v>
      </c>
      <c r="B571" t="s">
        <v>12</v>
      </c>
      <c r="C571" t="s">
        <v>13</v>
      </c>
      <c r="D571" t="s">
        <v>14</v>
      </c>
      <c r="E571" t="s">
        <v>23</v>
      </c>
      <c r="F571" s="4">
        <v>1769</v>
      </c>
      <c r="G571" s="9" t="s">
        <v>1172</v>
      </c>
      <c r="H571" s="1">
        <v>45206</v>
      </c>
      <c r="I571" t="s">
        <v>17</v>
      </c>
      <c r="J571" t="s">
        <v>1173</v>
      </c>
      <c r="K571" t="s">
        <v>52</v>
      </c>
      <c r="L571" s="3">
        <f t="shared" si="16"/>
        <v>49043</v>
      </c>
      <c r="M571" s="3">
        <f t="shared" si="17"/>
        <v>27.723572639909552</v>
      </c>
    </row>
    <row r="572" spans="1:13" x14ac:dyDescent="0.35">
      <c r="A572" t="s">
        <v>11</v>
      </c>
      <c r="B572" t="s">
        <v>59</v>
      </c>
      <c r="C572" t="s">
        <v>27</v>
      </c>
      <c r="D572" t="s">
        <v>28</v>
      </c>
      <c r="E572" t="s">
        <v>23</v>
      </c>
      <c r="F572" s="4">
        <v>348</v>
      </c>
      <c r="G572" s="9" t="s">
        <v>1174</v>
      </c>
      <c r="H572" s="1">
        <v>45145</v>
      </c>
      <c r="I572" t="s">
        <v>17</v>
      </c>
      <c r="J572" t="s">
        <v>1175</v>
      </c>
      <c r="K572" t="s">
        <v>32</v>
      </c>
      <c r="L572" s="3">
        <f t="shared" si="16"/>
        <v>40962</v>
      </c>
      <c r="M572" s="3">
        <f t="shared" si="17"/>
        <v>117.70689655172414</v>
      </c>
    </row>
    <row r="573" spans="1:13" x14ac:dyDescent="0.35">
      <c r="A573" t="s">
        <v>39</v>
      </c>
      <c r="B573" t="s">
        <v>59</v>
      </c>
      <c r="C573" t="s">
        <v>21</v>
      </c>
      <c r="D573" t="s">
        <v>28</v>
      </c>
      <c r="E573" t="s">
        <v>15</v>
      </c>
      <c r="F573" s="4">
        <v>317</v>
      </c>
      <c r="G573" s="9" t="s">
        <v>1176</v>
      </c>
      <c r="H573" s="1">
        <v>45351</v>
      </c>
      <c r="I573" t="s">
        <v>30</v>
      </c>
      <c r="J573" t="s">
        <v>1177</v>
      </c>
      <c r="K573" t="s">
        <v>56</v>
      </c>
      <c r="L573" s="3">
        <f t="shared" si="16"/>
        <v>17536</v>
      </c>
      <c r="M573" s="3">
        <f t="shared" si="17"/>
        <v>55.318611987381701</v>
      </c>
    </row>
    <row r="574" spans="1:13" x14ac:dyDescent="0.35">
      <c r="A574" t="s">
        <v>86</v>
      </c>
      <c r="B574" t="s">
        <v>20</v>
      </c>
      <c r="C574" t="s">
        <v>13</v>
      </c>
      <c r="D574" t="s">
        <v>89</v>
      </c>
      <c r="E574" t="s">
        <v>23</v>
      </c>
      <c r="F574" s="4">
        <v>832</v>
      </c>
      <c r="G574" s="9" t="s">
        <v>1178</v>
      </c>
      <c r="H574" s="1">
        <v>45231</v>
      </c>
      <c r="I574" t="s">
        <v>48</v>
      </c>
      <c r="J574" t="s">
        <v>1179</v>
      </c>
      <c r="K574" t="s">
        <v>56</v>
      </c>
      <c r="L574" s="3">
        <f t="shared" si="16"/>
        <v>14813</v>
      </c>
      <c r="M574" s="3">
        <f t="shared" si="17"/>
        <v>17.80408653846154</v>
      </c>
    </row>
    <row r="575" spans="1:13" x14ac:dyDescent="0.35">
      <c r="A575" t="s">
        <v>11</v>
      </c>
      <c r="B575" t="s">
        <v>12</v>
      </c>
      <c r="C575" t="s">
        <v>33</v>
      </c>
      <c r="D575" t="s">
        <v>28</v>
      </c>
      <c r="E575" t="s">
        <v>15</v>
      </c>
      <c r="F575" s="4">
        <v>1217</v>
      </c>
      <c r="G575" s="9" t="s">
        <v>1180</v>
      </c>
      <c r="H575" s="1">
        <v>45163</v>
      </c>
      <c r="I575" t="s">
        <v>36</v>
      </c>
      <c r="J575" t="s">
        <v>1181</v>
      </c>
      <c r="K575" t="s">
        <v>19</v>
      </c>
      <c r="L575" s="3">
        <f t="shared" si="16"/>
        <v>44230</v>
      </c>
      <c r="M575" s="3">
        <f t="shared" si="17"/>
        <v>36.343467543138864</v>
      </c>
    </row>
    <row r="576" spans="1:13" x14ac:dyDescent="0.35">
      <c r="A576" t="s">
        <v>11</v>
      </c>
      <c r="B576" t="s">
        <v>40</v>
      </c>
      <c r="C576" t="s">
        <v>13</v>
      </c>
      <c r="D576" t="s">
        <v>34</v>
      </c>
      <c r="E576">
        <v>30</v>
      </c>
      <c r="F576" s="4">
        <v>987</v>
      </c>
      <c r="G576" s="9" t="s">
        <v>1182</v>
      </c>
      <c r="H576" s="1">
        <v>45395</v>
      </c>
      <c r="I576" t="s">
        <v>36</v>
      </c>
      <c r="J576" t="s">
        <v>1183</v>
      </c>
      <c r="K576" t="s">
        <v>38</v>
      </c>
      <c r="L576" s="3">
        <f t="shared" si="16"/>
        <v>46351</v>
      </c>
      <c r="M576" s="3">
        <f t="shared" si="17"/>
        <v>46.961499493414387</v>
      </c>
    </row>
    <row r="577" spans="1:13" x14ac:dyDescent="0.35">
      <c r="A577" t="s">
        <v>39</v>
      </c>
      <c r="B577" t="s">
        <v>40</v>
      </c>
      <c r="C577" t="s">
        <v>21</v>
      </c>
      <c r="D577" t="s">
        <v>14</v>
      </c>
      <c r="E577">
        <v>30</v>
      </c>
      <c r="F577" s="4">
        <v>1544</v>
      </c>
      <c r="G577" s="9" t="s">
        <v>1184</v>
      </c>
      <c r="H577" s="1">
        <v>45396</v>
      </c>
      <c r="I577" t="s">
        <v>17</v>
      </c>
      <c r="J577" t="s">
        <v>1185</v>
      </c>
      <c r="K577" t="s">
        <v>32</v>
      </c>
      <c r="L577" s="3">
        <f t="shared" si="16"/>
        <v>28088</v>
      </c>
      <c r="M577" s="3">
        <f t="shared" si="17"/>
        <v>18.191709844559586</v>
      </c>
    </row>
    <row r="578" spans="1:13" x14ac:dyDescent="0.35">
      <c r="A578" t="s">
        <v>39</v>
      </c>
      <c r="B578" t="s">
        <v>59</v>
      </c>
      <c r="C578" t="s">
        <v>33</v>
      </c>
      <c r="D578" t="s">
        <v>34</v>
      </c>
      <c r="E578" t="s">
        <v>15</v>
      </c>
      <c r="F578" s="4">
        <v>1500</v>
      </c>
      <c r="G578" s="9" t="s">
        <v>1186</v>
      </c>
      <c r="H578" s="1">
        <v>45235</v>
      </c>
      <c r="I578" t="s">
        <v>30</v>
      </c>
      <c r="J578" t="s">
        <v>1187</v>
      </c>
      <c r="K578" t="s">
        <v>32</v>
      </c>
      <c r="L578" s="3">
        <f t="shared" ref="L578:L641" si="18">VALUE(SUBSTITUTE(G578,"$",""))</f>
        <v>33627</v>
      </c>
      <c r="M578" s="3">
        <f t="shared" si="17"/>
        <v>22.417999999999999</v>
      </c>
    </row>
    <row r="579" spans="1:13" x14ac:dyDescent="0.35">
      <c r="A579" t="s">
        <v>11</v>
      </c>
      <c r="B579" t="s">
        <v>40</v>
      </c>
      <c r="C579" t="s">
        <v>77</v>
      </c>
      <c r="D579" t="s">
        <v>89</v>
      </c>
      <c r="E579" t="s">
        <v>23</v>
      </c>
      <c r="F579" s="4">
        <v>1406</v>
      </c>
      <c r="G579" s="9" t="s">
        <v>1188</v>
      </c>
      <c r="H579" s="1">
        <v>45289</v>
      </c>
      <c r="I579" t="s">
        <v>45</v>
      </c>
      <c r="J579" t="s">
        <v>1189</v>
      </c>
      <c r="K579" t="s">
        <v>38</v>
      </c>
      <c r="L579" s="3">
        <f t="shared" si="18"/>
        <v>38824</v>
      </c>
      <c r="M579" s="3">
        <f t="shared" ref="M579:M642" si="19">VALUE(SUBSTITUTE(SUBSTITUTE(G579,"$",""),",",""))/F579</f>
        <v>27.613086770981507</v>
      </c>
    </row>
    <row r="580" spans="1:13" x14ac:dyDescent="0.35">
      <c r="A580" t="s">
        <v>11</v>
      </c>
      <c r="B580" t="s">
        <v>62</v>
      </c>
      <c r="C580" t="s">
        <v>33</v>
      </c>
      <c r="D580" t="s">
        <v>22</v>
      </c>
      <c r="E580" t="s">
        <v>15</v>
      </c>
      <c r="F580" s="4">
        <v>1176</v>
      </c>
      <c r="G580" s="9" t="s">
        <v>1190</v>
      </c>
      <c r="H580" s="1">
        <v>45140</v>
      </c>
      <c r="I580" t="s">
        <v>45</v>
      </c>
      <c r="J580" t="s">
        <v>1191</v>
      </c>
      <c r="K580" t="s">
        <v>19</v>
      </c>
      <c r="L580" s="3">
        <f t="shared" si="18"/>
        <v>3089</v>
      </c>
      <c r="M580" s="3">
        <f t="shared" si="19"/>
        <v>2.6267006802721089</v>
      </c>
    </row>
    <row r="581" spans="1:13" x14ac:dyDescent="0.35">
      <c r="A581" t="s">
        <v>11</v>
      </c>
      <c r="B581" t="s">
        <v>12</v>
      </c>
      <c r="C581" t="s">
        <v>77</v>
      </c>
      <c r="D581" t="s">
        <v>22</v>
      </c>
      <c r="E581" t="s">
        <v>43</v>
      </c>
      <c r="F581" s="4">
        <v>1806</v>
      </c>
      <c r="G581" s="9" t="s">
        <v>1192</v>
      </c>
      <c r="H581" s="1">
        <v>45398</v>
      </c>
      <c r="I581" t="s">
        <v>17</v>
      </c>
      <c r="J581" t="s">
        <v>1193</v>
      </c>
      <c r="K581" t="s">
        <v>52</v>
      </c>
      <c r="L581" s="3">
        <f t="shared" si="18"/>
        <v>24517</v>
      </c>
      <c r="M581" s="3">
        <f t="shared" si="19"/>
        <v>13.57530454042082</v>
      </c>
    </row>
    <row r="582" spans="1:13" x14ac:dyDescent="0.35">
      <c r="A582" t="s">
        <v>53</v>
      </c>
      <c r="B582" t="s">
        <v>40</v>
      </c>
      <c r="C582" t="s">
        <v>77</v>
      </c>
      <c r="D582" t="s">
        <v>89</v>
      </c>
      <c r="E582">
        <v>30</v>
      </c>
      <c r="F582" s="4">
        <v>1187</v>
      </c>
      <c r="G582" s="9" t="s">
        <v>1194</v>
      </c>
      <c r="H582" s="1">
        <v>45220</v>
      </c>
      <c r="I582" t="s">
        <v>48</v>
      </c>
      <c r="J582" t="s">
        <v>1195</v>
      </c>
      <c r="K582" t="s">
        <v>19</v>
      </c>
      <c r="L582" s="3">
        <f t="shared" si="18"/>
        <v>25578</v>
      </c>
      <c r="M582" s="3">
        <f t="shared" si="19"/>
        <v>21.54844144903117</v>
      </c>
    </row>
    <row r="583" spans="1:13" x14ac:dyDescent="0.35">
      <c r="A583" t="s">
        <v>53</v>
      </c>
      <c r="B583" t="s">
        <v>12</v>
      </c>
      <c r="C583" t="s">
        <v>21</v>
      </c>
      <c r="D583" t="s">
        <v>89</v>
      </c>
      <c r="E583" t="s">
        <v>43</v>
      </c>
      <c r="F583" s="4">
        <v>606</v>
      </c>
      <c r="G583" s="9" t="s">
        <v>1196</v>
      </c>
      <c r="H583" s="1">
        <v>45358</v>
      </c>
      <c r="I583" t="s">
        <v>48</v>
      </c>
      <c r="J583" t="s">
        <v>1197</v>
      </c>
      <c r="K583" t="s">
        <v>52</v>
      </c>
      <c r="L583" s="3">
        <f t="shared" si="18"/>
        <v>19299</v>
      </c>
      <c r="M583" s="3">
        <f t="shared" si="19"/>
        <v>31.846534653465348</v>
      </c>
    </row>
    <row r="584" spans="1:13" x14ac:dyDescent="0.35">
      <c r="A584" t="s">
        <v>86</v>
      </c>
      <c r="B584" t="s">
        <v>59</v>
      </c>
      <c r="C584" t="s">
        <v>33</v>
      </c>
      <c r="D584" t="s">
        <v>28</v>
      </c>
      <c r="E584">
        <v>30</v>
      </c>
      <c r="F584" s="4">
        <v>1824</v>
      </c>
      <c r="G584" s="9" t="s">
        <v>1198</v>
      </c>
      <c r="H584" s="1">
        <v>45141</v>
      </c>
      <c r="I584" t="s">
        <v>45</v>
      </c>
      <c r="J584" t="s">
        <v>1199</v>
      </c>
      <c r="K584" t="s">
        <v>32</v>
      </c>
      <c r="L584" s="3">
        <f t="shared" si="18"/>
        <v>35974</v>
      </c>
      <c r="M584" s="3">
        <f t="shared" si="19"/>
        <v>19.722587719298247</v>
      </c>
    </row>
    <row r="585" spans="1:13" x14ac:dyDescent="0.35">
      <c r="A585" t="s">
        <v>11</v>
      </c>
      <c r="B585" t="s">
        <v>59</v>
      </c>
      <c r="C585" t="s">
        <v>13</v>
      </c>
      <c r="D585" t="s">
        <v>14</v>
      </c>
      <c r="E585">
        <v>30</v>
      </c>
      <c r="F585" s="4">
        <v>1082</v>
      </c>
      <c r="G585" s="9" t="s">
        <v>1200</v>
      </c>
      <c r="H585" s="1">
        <v>45197</v>
      </c>
      <c r="I585" t="s">
        <v>48</v>
      </c>
      <c r="J585" t="s">
        <v>1201</v>
      </c>
      <c r="K585" t="s">
        <v>56</v>
      </c>
      <c r="L585" s="3">
        <f t="shared" si="18"/>
        <v>1598</v>
      </c>
      <c r="M585" s="3">
        <f t="shared" si="19"/>
        <v>1.4768946395563771</v>
      </c>
    </row>
    <row r="586" spans="1:13" x14ac:dyDescent="0.35">
      <c r="A586" t="s">
        <v>11</v>
      </c>
      <c r="B586" t="s">
        <v>12</v>
      </c>
      <c r="C586" t="s">
        <v>33</v>
      </c>
      <c r="D586" t="s">
        <v>22</v>
      </c>
      <c r="E586" t="s">
        <v>15</v>
      </c>
      <c r="F586" s="4">
        <v>1738</v>
      </c>
      <c r="G586" s="9" t="s">
        <v>1202</v>
      </c>
      <c r="H586" s="1">
        <v>45380</v>
      </c>
      <c r="I586" t="s">
        <v>17</v>
      </c>
      <c r="J586" t="s">
        <v>1203</v>
      </c>
      <c r="K586" t="s">
        <v>52</v>
      </c>
      <c r="L586" s="3">
        <f t="shared" si="18"/>
        <v>46460</v>
      </c>
      <c r="M586" s="3">
        <f t="shared" si="19"/>
        <v>26.731875719217491</v>
      </c>
    </row>
    <row r="587" spans="1:13" x14ac:dyDescent="0.35">
      <c r="A587" t="s">
        <v>53</v>
      </c>
      <c r="B587" t="s">
        <v>59</v>
      </c>
      <c r="C587" t="s">
        <v>27</v>
      </c>
      <c r="D587" t="s">
        <v>89</v>
      </c>
      <c r="E587" t="s">
        <v>23</v>
      </c>
      <c r="F587" s="4">
        <v>566</v>
      </c>
      <c r="G587" s="9" t="s">
        <v>1204</v>
      </c>
      <c r="H587" s="1">
        <v>45192</v>
      </c>
      <c r="I587" t="s">
        <v>45</v>
      </c>
      <c r="J587" t="s">
        <v>1205</v>
      </c>
      <c r="K587" t="s">
        <v>38</v>
      </c>
      <c r="L587" s="3">
        <f t="shared" si="18"/>
        <v>7773</v>
      </c>
      <c r="M587" s="3">
        <f t="shared" si="19"/>
        <v>13.73321554770318</v>
      </c>
    </row>
    <row r="588" spans="1:13" x14ac:dyDescent="0.35">
      <c r="A588" t="s">
        <v>86</v>
      </c>
      <c r="B588" t="s">
        <v>59</v>
      </c>
      <c r="C588" t="s">
        <v>13</v>
      </c>
      <c r="D588" t="s">
        <v>28</v>
      </c>
      <c r="E588" t="s">
        <v>23</v>
      </c>
      <c r="F588" s="4">
        <v>1542</v>
      </c>
      <c r="G588" s="9" t="s">
        <v>1206</v>
      </c>
      <c r="H588" s="1">
        <v>45218</v>
      </c>
      <c r="I588" t="s">
        <v>45</v>
      </c>
      <c r="J588" t="s">
        <v>1207</v>
      </c>
      <c r="K588" t="s">
        <v>38</v>
      </c>
      <c r="L588" s="3">
        <f t="shared" si="18"/>
        <v>18211</v>
      </c>
      <c r="M588" s="3">
        <f t="shared" si="19"/>
        <v>11.809987029831388</v>
      </c>
    </row>
    <row r="589" spans="1:13" x14ac:dyDescent="0.35">
      <c r="A589" t="s">
        <v>11</v>
      </c>
      <c r="B589" t="s">
        <v>62</v>
      </c>
      <c r="C589" t="s">
        <v>27</v>
      </c>
      <c r="D589" t="s">
        <v>89</v>
      </c>
      <c r="E589" t="s">
        <v>23</v>
      </c>
      <c r="F589" s="4">
        <v>1818</v>
      </c>
      <c r="G589" s="9" t="s">
        <v>1208</v>
      </c>
      <c r="H589" s="1">
        <v>45427</v>
      </c>
      <c r="I589" t="s">
        <v>36</v>
      </c>
      <c r="J589" t="s">
        <v>1209</v>
      </c>
      <c r="K589" t="s">
        <v>56</v>
      </c>
      <c r="L589" s="3">
        <f t="shared" si="18"/>
        <v>24007</v>
      </c>
      <c r="M589" s="3">
        <f t="shared" si="19"/>
        <v>13.205170517051705</v>
      </c>
    </row>
    <row r="590" spans="1:13" x14ac:dyDescent="0.35">
      <c r="A590" t="s">
        <v>39</v>
      </c>
      <c r="B590" t="s">
        <v>20</v>
      </c>
      <c r="C590" t="s">
        <v>21</v>
      </c>
      <c r="D590" t="s">
        <v>22</v>
      </c>
      <c r="E590" t="s">
        <v>43</v>
      </c>
      <c r="F590" s="4">
        <v>380</v>
      </c>
      <c r="G590" s="9" t="s">
        <v>1210</v>
      </c>
      <c r="H590" s="1">
        <v>45408</v>
      </c>
      <c r="I590" t="s">
        <v>30</v>
      </c>
      <c r="J590" t="s">
        <v>1211</v>
      </c>
      <c r="K590" t="s">
        <v>19</v>
      </c>
      <c r="L590" s="3">
        <f t="shared" si="18"/>
        <v>19627</v>
      </c>
      <c r="M590" s="3">
        <f t="shared" si="19"/>
        <v>51.65</v>
      </c>
    </row>
    <row r="591" spans="1:13" x14ac:dyDescent="0.35">
      <c r="A591" t="s">
        <v>39</v>
      </c>
      <c r="B591" t="s">
        <v>59</v>
      </c>
      <c r="C591" t="s">
        <v>21</v>
      </c>
      <c r="D591" t="s">
        <v>22</v>
      </c>
      <c r="E591">
        <v>30</v>
      </c>
      <c r="F591" s="4">
        <v>1258</v>
      </c>
      <c r="G591" s="9" t="s">
        <v>1212</v>
      </c>
      <c r="H591" s="1">
        <v>45205</v>
      </c>
      <c r="I591" t="s">
        <v>17</v>
      </c>
      <c r="J591" t="s">
        <v>1213</v>
      </c>
      <c r="K591" t="s">
        <v>19</v>
      </c>
      <c r="L591" s="3">
        <f t="shared" si="18"/>
        <v>32636</v>
      </c>
      <c r="M591" s="3">
        <f t="shared" si="19"/>
        <v>25.942766295707472</v>
      </c>
    </row>
    <row r="592" spans="1:13" x14ac:dyDescent="0.35">
      <c r="A592" t="s">
        <v>11</v>
      </c>
      <c r="B592" t="s">
        <v>20</v>
      </c>
      <c r="C592" t="s">
        <v>33</v>
      </c>
      <c r="D592" t="s">
        <v>22</v>
      </c>
      <c r="E592" t="s">
        <v>43</v>
      </c>
      <c r="F592" s="4">
        <v>271</v>
      </c>
      <c r="G592" s="9" t="s">
        <v>1214</v>
      </c>
      <c r="H592" s="1">
        <v>45496</v>
      </c>
      <c r="I592" t="s">
        <v>45</v>
      </c>
      <c r="J592" t="s">
        <v>1215</v>
      </c>
      <c r="K592" t="s">
        <v>38</v>
      </c>
      <c r="L592" s="3">
        <f t="shared" si="18"/>
        <v>42665</v>
      </c>
      <c r="M592" s="3">
        <f t="shared" si="19"/>
        <v>157.43542435424354</v>
      </c>
    </row>
    <row r="593" spans="1:13" x14ac:dyDescent="0.35">
      <c r="A593" t="s">
        <v>39</v>
      </c>
      <c r="B593" t="s">
        <v>62</v>
      </c>
      <c r="C593" t="s">
        <v>21</v>
      </c>
      <c r="D593" t="s">
        <v>14</v>
      </c>
      <c r="E593">
        <v>60</v>
      </c>
      <c r="F593" s="4">
        <v>1450</v>
      </c>
      <c r="G593" s="9" t="s">
        <v>1216</v>
      </c>
      <c r="H593" s="1">
        <v>45194</v>
      </c>
      <c r="I593" t="s">
        <v>30</v>
      </c>
      <c r="J593" t="s">
        <v>1217</v>
      </c>
      <c r="K593" t="s">
        <v>52</v>
      </c>
      <c r="L593" s="3">
        <f t="shared" si="18"/>
        <v>41272</v>
      </c>
      <c r="M593" s="3">
        <f t="shared" si="19"/>
        <v>28.463448275862071</v>
      </c>
    </row>
    <row r="594" spans="1:13" x14ac:dyDescent="0.35">
      <c r="A594" t="s">
        <v>11</v>
      </c>
      <c r="B594" t="s">
        <v>12</v>
      </c>
      <c r="C594" t="s">
        <v>27</v>
      </c>
      <c r="D594" t="s">
        <v>22</v>
      </c>
      <c r="E594" t="s">
        <v>43</v>
      </c>
      <c r="F594" s="4">
        <v>880</v>
      </c>
      <c r="G594" s="9" t="s">
        <v>1218</v>
      </c>
      <c r="H594" s="1">
        <v>45323</v>
      </c>
      <c r="I594" t="s">
        <v>48</v>
      </c>
      <c r="J594" t="s">
        <v>1219</v>
      </c>
      <c r="K594" t="s">
        <v>52</v>
      </c>
      <c r="L594" s="3">
        <f t="shared" si="18"/>
        <v>41888</v>
      </c>
      <c r="M594" s="3">
        <f t="shared" si="19"/>
        <v>47.6</v>
      </c>
    </row>
    <row r="595" spans="1:13" x14ac:dyDescent="0.35">
      <c r="A595" t="s">
        <v>53</v>
      </c>
      <c r="B595" t="s">
        <v>62</v>
      </c>
      <c r="C595" t="s">
        <v>77</v>
      </c>
      <c r="D595" t="s">
        <v>34</v>
      </c>
      <c r="E595" t="s">
        <v>23</v>
      </c>
      <c r="F595" s="4">
        <v>946</v>
      </c>
      <c r="G595" s="9" t="s">
        <v>1220</v>
      </c>
      <c r="H595" s="1">
        <v>45249</v>
      </c>
      <c r="I595" t="s">
        <v>45</v>
      </c>
      <c r="J595" t="s">
        <v>1221</v>
      </c>
      <c r="K595" t="s">
        <v>38</v>
      </c>
      <c r="L595" s="3">
        <f t="shared" si="18"/>
        <v>11455</v>
      </c>
      <c r="M595" s="3">
        <f t="shared" si="19"/>
        <v>12.108879492600423</v>
      </c>
    </row>
    <row r="596" spans="1:13" x14ac:dyDescent="0.35">
      <c r="A596" t="s">
        <v>26</v>
      </c>
      <c r="B596" t="s">
        <v>12</v>
      </c>
      <c r="C596" t="s">
        <v>33</v>
      </c>
      <c r="D596" t="s">
        <v>14</v>
      </c>
      <c r="E596" t="s">
        <v>15</v>
      </c>
      <c r="F596" s="4">
        <v>1435</v>
      </c>
      <c r="G596" s="9" t="s">
        <v>1222</v>
      </c>
      <c r="H596" s="1">
        <v>45459</v>
      </c>
      <c r="I596" t="s">
        <v>48</v>
      </c>
      <c r="J596" t="s">
        <v>1223</v>
      </c>
      <c r="K596" t="s">
        <v>32</v>
      </c>
      <c r="L596" s="3">
        <f t="shared" si="18"/>
        <v>5947</v>
      </c>
      <c r="M596" s="3">
        <f t="shared" si="19"/>
        <v>4.1442508710801391</v>
      </c>
    </row>
    <row r="597" spans="1:13" x14ac:dyDescent="0.35">
      <c r="A597" t="s">
        <v>39</v>
      </c>
      <c r="B597" t="s">
        <v>59</v>
      </c>
      <c r="C597" t="s">
        <v>27</v>
      </c>
      <c r="D597" t="s">
        <v>14</v>
      </c>
      <c r="E597" t="s">
        <v>15</v>
      </c>
      <c r="F597" s="4">
        <v>662</v>
      </c>
      <c r="G597" s="9" t="s">
        <v>1224</v>
      </c>
      <c r="H597" s="1">
        <v>45416</v>
      </c>
      <c r="I597" t="s">
        <v>36</v>
      </c>
      <c r="J597" t="s">
        <v>1225</v>
      </c>
      <c r="K597" t="s">
        <v>32</v>
      </c>
      <c r="L597" s="3">
        <f t="shared" si="18"/>
        <v>42968</v>
      </c>
      <c r="M597" s="3">
        <f t="shared" si="19"/>
        <v>64.90634441087613</v>
      </c>
    </row>
    <row r="598" spans="1:13" x14ac:dyDescent="0.35">
      <c r="A598" t="s">
        <v>53</v>
      </c>
      <c r="B598" t="s">
        <v>62</v>
      </c>
      <c r="C598" t="s">
        <v>77</v>
      </c>
      <c r="D598" t="s">
        <v>34</v>
      </c>
      <c r="E598" t="s">
        <v>43</v>
      </c>
      <c r="F598" s="4">
        <v>974</v>
      </c>
      <c r="G598" s="9" t="s">
        <v>1226</v>
      </c>
      <c r="H598" s="1">
        <v>45272</v>
      </c>
      <c r="I598" t="s">
        <v>36</v>
      </c>
      <c r="J598" t="s">
        <v>1227</v>
      </c>
      <c r="K598" t="s">
        <v>52</v>
      </c>
      <c r="L598" s="3">
        <f t="shared" si="18"/>
        <v>1233</v>
      </c>
      <c r="M598" s="3">
        <f t="shared" si="19"/>
        <v>1.2659137577002053</v>
      </c>
    </row>
    <row r="599" spans="1:13" x14ac:dyDescent="0.35">
      <c r="A599" t="s">
        <v>11</v>
      </c>
      <c r="B599" t="s">
        <v>59</v>
      </c>
      <c r="C599" t="s">
        <v>27</v>
      </c>
      <c r="D599" t="s">
        <v>22</v>
      </c>
      <c r="E599" t="s">
        <v>23</v>
      </c>
      <c r="F599" s="4">
        <v>375</v>
      </c>
      <c r="G599" s="9" t="s">
        <v>1228</v>
      </c>
      <c r="H599" s="1">
        <v>45179</v>
      </c>
      <c r="I599" t="s">
        <v>36</v>
      </c>
      <c r="J599" t="s">
        <v>1229</v>
      </c>
      <c r="K599" t="s">
        <v>52</v>
      </c>
      <c r="L599" s="3">
        <f t="shared" si="18"/>
        <v>48490</v>
      </c>
      <c r="M599" s="3">
        <f t="shared" si="19"/>
        <v>129.30666666666667</v>
      </c>
    </row>
    <row r="600" spans="1:13" x14ac:dyDescent="0.35">
      <c r="A600" t="s">
        <v>86</v>
      </c>
      <c r="B600" t="s">
        <v>62</v>
      </c>
      <c r="C600" t="s">
        <v>21</v>
      </c>
      <c r="D600" t="s">
        <v>14</v>
      </c>
      <c r="E600">
        <v>60</v>
      </c>
      <c r="F600" s="4">
        <v>1174</v>
      </c>
      <c r="G600" s="9" t="s">
        <v>1230</v>
      </c>
      <c r="H600" s="1">
        <v>45185</v>
      </c>
      <c r="I600" t="s">
        <v>36</v>
      </c>
      <c r="J600" t="s">
        <v>1231</v>
      </c>
      <c r="K600" t="s">
        <v>32</v>
      </c>
      <c r="L600" s="3">
        <f t="shared" si="18"/>
        <v>45203</v>
      </c>
      <c r="M600" s="3">
        <f t="shared" si="19"/>
        <v>38.503407155025556</v>
      </c>
    </row>
    <row r="601" spans="1:13" x14ac:dyDescent="0.35">
      <c r="A601" t="s">
        <v>11</v>
      </c>
      <c r="B601" t="s">
        <v>12</v>
      </c>
      <c r="C601" t="s">
        <v>21</v>
      </c>
      <c r="D601" t="s">
        <v>14</v>
      </c>
      <c r="E601" t="s">
        <v>15</v>
      </c>
      <c r="F601" s="4">
        <v>826</v>
      </c>
      <c r="G601" s="9" t="s">
        <v>1232</v>
      </c>
      <c r="H601" s="1">
        <v>45425</v>
      </c>
      <c r="I601" t="s">
        <v>36</v>
      </c>
      <c r="J601" t="s">
        <v>1233</v>
      </c>
      <c r="K601" t="s">
        <v>38</v>
      </c>
      <c r="L601" s="3">
        <f t="shared" si="18"/>
        <v>38948</v>
      </c>
      <c r="M601" s="3">
        <f t="shared" si="19"/>
        <v>47.152542372881356</v>
      </c>
    </row>
    <row r="602" spans="1:13" x14ac:dyDescent="0.35">
      <c r="A602" t="s">
        <v>86</v>
      </c>
      <c r="B602" t="s">
        <v>12</v>
      </c>
      <c r="C602" t="s">
        <v>21</v>
      </c>
      <c r="D602" t="s">
        <v>22</v>
      </c>
      <c r="E602" t="s">
        <v>23</v>
      </c>
      <c r="F602" s="4">
        <v>1991</v>
      </c>
      <c r="G602" s="9" t="s">
        <v>1234</v>
      </c>
      <c r="H602" s="1">
        <v>45289</v>
      </c>
      <c r="I602" t="s">
        <v>30</v>
      </c>
      <c r="J602" t="s">
        <v>1235</v>
      </c>
      <c r="K602" t="s">
        <v>38</v>
      </c>
      <c r="L602" s="3">
        <f t="shared" si="18"/>
        <v>22125</v>
      </c>
      <c r="M602" s="3">
        <f t="shared" si="19"/>
        <v>11.112506278252134</v>
      </c>
    </row>
    <row r="603" spans="1:13" x14ac:dyDescent="0.35">
      <c r="A603" t="s">
        <v>53</v>
      </c>
      <c r="B603" t="s">
        <v>40</v>
      </c>
      <c r="C603" t="s">
        <v>13</v>
      </c>
      <c r="D603" t="s">
        <v>34</v>
      </c>
      <c r="E603">
        <v>30</v>
      </c>
      <c r="F603" s="4">
        <v>1847</v>
      </c>
      <c r="G603" s="9" t="s">
        <v>1236</v>
      </c>
      <c r="H603" s="1">
        <v>45319</v>
      </c>
      <c r="I603" t="s">
        <v>45</v>
      </c>
      <c r="J603" t="s">
        <v>1237</v>
      </c>
      <c r="K603" t="s">
        <v>19</v>
      </c>
      <c r="L603" s="3">
        <f t="shared" si="18"/>
        <v>3341</v>
      </c>
      <c r="M603" s="3">
        <f t="shared" si="19"/>
        <v>1.8088792636708175</v>
      </c>
    </row>
    <row r="604" spans="1:13" x14ac:dyDescent="0.35">
      <c r="A604" t="s">
        <v>11</v>
      </c>
      <c r="B604" t="s">
        <v>12</v>
      </c>
      <c r="C604" t="s">
        <v>13</v>
      </c>
      <c r="D604" t="s">
        <v>34</v>
      </c>
      <c r="E604" t="s">
        <v>15</v>
      </c>
      <c r="F604" s="4">
        <v>1902</v>
      </c>
      <c r="G604" s="9" t="s">
        <v>1238</v>
      </c>
      <c r="H604" s="1">
        <v>45206</v>
      </c>
      <c r="I604" t="s">
        <v>30</v>
      </c>
      <c r="J604" t="s">
        <v>1239</v>
      </c>
      <c r="K604" t="s">
        <v>52</v>
      </c>
      <c r="L604" s="3">
        <f t="shared" si="18"/>
        <v>30721</v>
      </c>
      <c r="M604" s="3">
        <f t="shared" si="19"/>
        <v>16.151945320715036</v>
      </c>
    </row>
    <row r="605" spans="1:13" x14ac:dyDescent="0.35">
      <c r="A605" t="s">
        <v>39</v>
      </c>
      <c r="B605" t="s">
        <v>40</v>
      </c>
      <c r="C605" t="s">
        <v>27</v>
      </c>
      <c r="D605" t="s">
        <v>89</v>
      </c>
      <c r="E605">
        <v>30</v>
      </c>
      <c r="F605" s="4">
        <v>1565</v>
      </c>
      <c r="G605" s="9" t="s">
        <v>1240</v>
      </c>
      <c r="H605" s="1">
        <v>45413</v>
      </c>
      <c r="I605" t="s">
        <v>48</v>
      </c>
      <c r="J605" t="s">
        <v>1241</v>
      </c>
      <c r="K605" t="s">
        <v>38</v>
      </c>
      <c r="L605" s="3">
        <f t="shared" si="18"/>
        <v>44406</v>
      </c>
      <c r="M605" s="3">
        <f t="shared" si="19"/>
        <v>28.374440894568689</v>
      </c>
    </row>
    <row r="606" spans="1:13" x14ac:dyDescent="0.35">
      <c r="A606" t="s">
        <v>53</v>
      </c>
      <c r="B606" t="s">
        <v>62</v>
      </c>
      <c r="C606" t="s">
        <v>77</v>
      </c>
      <c r="D606" t="s">
        <v>34</v>
      </c>
      <c r="E606">
        <v>60</v>
      </c>
      <c r="F606" s="4">
        <v>202</v>
      </c>
      <c r="G606" s="9" t="s">
        <v>1242</v>
      </c>
      <c r="H606" s="1">
        <v>45408</v>
      </c>
      <c r="I606" t="s">
        <v>45</v>
      </c>
      <c r="J606" t="s">
        <v>1243</v>
      </c>
      <c r="K606" t="s">
        <v>19</v>
      </c>
      <c r="L606" s="3">
        <f t="shared" si="18"/>
        <v>29359</v>
      </c>
      <c r="M606" s="3">
        <f t="shared" si="19"/>
        <v>145.34158415841586</v>
      </c>
    </row>
    <row r="607" spans="1:13" x14ac:dyDescent="0.35">
      <c r="A607" t="s">
        <v>26</v>
      </c>
      <c r="B607" t="s">
        <v>12</v>
      </c>
      <c r="C607" t="s">
        <v>21</v>
      </c>
      <c r="D607" t="s">
        <v>22</v>
      </c>
      <c r="E607" t="s">
        <v>23</v>
      </c>
      <c r="F607" s="4">
        <v>1154</v>
      </c>
      <c r="G607" s="9" t="s">
        <v>1244</v>
      </c>
      <c r="H607" s="1">
        <v>45197</v>
      </c>
      <c r="I607" t="s">
        <v>36</v>
      </c>
      <c r="J607" t="s">
        <v>1245</v>
      </c>
      <c r="K607" t="s">
        <v>52</v>
      </c>
      <c r="L607" s="3">
        <f t="shared" si="18"/>
        <v>43230</v>
      </c>
      <c r="M607" s="3">
        <f t="shared" si="19"/>
        <v>37.461005199306761</v>
      </c>
    </row>
    <row r="608" spans="1:13" x14ac:dyDescent="0.35">
      <c r="A608" t="s">
        <v>53</v>
      </c>
      <c r="B608" t="s">
        <v>59</v>
      </c>
      <c r="C608" t="s">
        <v>77</v>
      </c>
      <c r="D608" t="s">
        <v>14</v>
      </c>
      <c r="E608" t="s">
        <v>15</v>
      </c>
      <c r="F608" s="4">
        <v>1979</v>
      </c>
      <c r="G608" s="9" t="s">
        <v>1246</v>
      </c>
      <c r="H608" s="1">
        <v>45329</v>
      </c>
      <c r="I608" t="s">
        <v>36</v>
      </c>
      <c r="J608" t="s">
        <v>1247</v>
      </c>
      <c r="K608" t="s">
        <v>56</v>
      </c>
      <c r="L608" s="3">
        <f t="shared" si="18"/>
        <v>44423</v>
      </c>
      <c r="M608" s="3">
        <f t="shared" si="19"/>
        <v>22.447195553309751</v>
      </c>
    </row>
    <row r="609" spans="1:13" x14ac:dyDescent="0.35">
      <c r="A609" t="s">
        <v>26</v>
      </c>
      <c r="B609" t="s">
        <v>62</v>
      </c>
      <c r="C609" t="s">
        <v>77</v>
      </c>
      <c r="D609" t="s">
        <v>89</v>
      </c>
      <c r="E609">
        <v>60</v>
      </c>
      <c r="F609" s="4">
        <v>1572</v>
      </c>
      <c r="G609" s="9" t="s">
        <v>1248</v>
      </c>
      <c r="H609" s="1">
        <v>45393</v>
      </c>
      <c r="I609" t="s">
        <v>30</v>
      </c>
      <c r="J609" t="s">
        <v>1249</v>
      </c>
      <c r="K609" t="s">
        <v>19</v>
      </c>
      <c r="L609" s="3">
        <f t="shared" si="18"/>
        <v>45926</v>
      </c>
      <c r="M609" s="3">
        <f t="shared" si="19"/>
        <v>29.215012722646311</v>
      </c>
    </row>
    <row r="610" spans="1:13" x14ac:dyDescent="0.35">
      <c r="A610" t="s">
        <v>86</v>
      </c>
      <c r="B610" t="s">
        <v>40</v>
      </c>
      <c r="C610" t="s">
        <v>33</v>
      </c>
      <c r="D610" t="s">
        <v>14</v>
      </c>
      <c r="E610">
        <v>60</v>
      </c>
      <c r="F610" s="4">
        <v>1732</v>
      </c>
      <c r="G610" s="9" t="s">
        <v>1250</v>
      </c>
      <c r="H610" s="1">
        <v>45351</v>
      </c>
      <c r="I610" t="s">
        <v>30</v>
      </c>
      <c r="J610" t="s">
        <v>1251</v>
      </c>
      <c r="K610" t="s">
        <v>56</v>
      </c>
      <c r="L610" s="3">
        <f t="shared" si="18"/>
        <v>15706</v>
      </c>
      <c r="M610" s="3">
        <f t="shared" si="19"/>
        <v>9.0681293302540418</v>
      </c>
    </row>
    <row r="611" spans="1:13" x14ac:dyDescent="0.35">
      <c r="A611" t="s">
        <v>86</v>
      </c>
      <c r="B611" t="s">
        <v>20</v>
      </c>
      <c r="C611" t="s">
        <v>27</v>
      </c>
      <c r="D611" t="s">
        <v>28</v>
      </c>
      <c r="E611" t="s">
        <v>23</v>
      </c>
      <c r="F611" s="4">
        <v>994</v>
      </c>
      <c r="G611" s="9" t="s">
        <v>1252</v>
      </c>
      <c r="H611" s="1">
        <v>45448</v>
      </c>
      <c r="I611" t="s">
        <v>30</v>
      </c>
      <c r="J611" t="s">
        <v>1253</v>
      </c>
      <c r="K611" t="s">
        <v>56</v>
      </c>
      <c r="L611" s="3">
        <f t="shared" si="18"/>
        <v>28766</v>
      </c>
      <c r="M611" s="3">
        <f t="shared" si="19"/>
        <v>28.939637826961771</v>
      </c>
    </row>
    <row r="612" spans="1:13" x14ac:dyDescent="0.35">
      <c r="A612" t="s">
        <v>26</v>
      </c>
      <c r="B612" t="s">
        <v>62</v>
      </c>
      <c r="C612" t="s">
        <v>13</v>
      </c>
      <c r="D612" t="s">
        <v>89</v>
      </c>
      <c r="E612" t="s">
        <v>43</v>
      </c>
      <c r="F612" s="4">
        <v>524</v>
      </c>
      <c r="G612" s="9" t="s">
        <v>1254</v>
      </c>
      <c r="H612" s="1">
        <v>45280</v>
      </c>
      <c r="I612" t="s">
        <v>48</v>
      </c>
      <c r="J612" t="s">
        <v>1255</v>
      </c>
      <c r="K612" t="s">
        <v>56</v>
      </c>
      <c r="L612" s="3">
        <f t="shared" si="18"/>
        <v>29230</v>
      </c>
      <c r="M612" s="3">
        <f t="shared" si="19"/>
        <v>55.782442748091604</v>
      </c>
    </row>
    <row r="613" spans="1:13" x14ac:dyDescent="0.35">
      <c r="A613" t="s">
        <v>11</v>
      </c>
      <c r="B613" t="s">
        <v>59</v>
      </c>
      <c r="C613" t="s">
        <v>33</v>
      </c>
      <c r="D613" t="s">
        <v>28</v>
      </c>
      <c r="E613" t="s">
        <v>23</v>
      </c>
      <c r="F613" s="4">
        <v>255</v>
      </c>
      <c r="G613" s="9" t="s">
        <v>1256</v>
      </c>
      <c r="H613" s="1">
        <v>45314</v>
      </c>
      <c r="I613" t="s">
        <v>48</v>
      </c>
      <c r="J613" t="s">
        <v>1257</v>
      </c>
      <c r="K613" t="s">
        <v>19</v>
      </c>
      <c r="L613" s="3">
        <f t="shared" si="18"/>
        <v>10654</v>
      </c>
      <c r="M613" s="3">
        <f t="shared" si="19"/>
        <v>41.780392156862746</v>
      </c>
    </row>
    <row r="614" spans="1:13" x14ac:dyDescent="0.35">
      <c r="A614" t="s">
        <v>26</v>
      </c>
      <c r="B614" t="s">
        <v>12</v>
      </c>
      <c r="C614" t="s">
        <v>21</v>
      </c>
      <c r="D614" t="s">
        <v>89</v>
      </c>
      <c r="E614" t="s">
        <v>15</v>
      </c>
      <c r="F614" s="4">
        <v>347</v>
      </c>
      <c r="G614" s="9" t="s">
        <v>1258</v>
      </c>
      <c r="H614" s="1">
        <v>45396</v>
      </c>
      <c r="I614" t="s">
        <v>48</v>
      </c>
      <c r="J614" t="s">
        <v>1259</v>
      </c>
      <c r="K614" t="s">
        <v>32</v>
      </c>
      <c r="L614" s="3">
        <f t="shared" si="18"/>
        <v>13939</v>
      </c>
      <c r="M614" s="3">
        <f t="shared" si="19"/>
        <v>40.170028818443804</v>
      </c>
    </row>
    <row r="615" spans="1:13" x14ac:dyDescent="0.35">
      <c r="A615" t="s">
        <v>26</v>
      </c>
      <c r="B615" t="s">
        <v>12</v>
      </c>
      <c r="C615" t="s">
        <v>33</v>
      </c>
      <c r="D615" t="s">
        <v>14</v>
      </c>
      <c r="E615" t="s">
        <v>43</v>
      </c>
      <c r="F615" s="4">
        <v>884</v>
      </c>
      <c r="G615" s="9" t="s">
        <v>1260</v>
      </c>
      <c r="H615" s="1">
        <v>45374</v>
      </c>
      <c r="I615" t="s">
        <v>48</v>
      </c>
      <c r="J615" t="s">
        <v>1261</v>
      </c>
      <c r="K615" t="s">
        <v>38</v>
      </c>
      <c r="L615" s="3">
        <f t="shared" si="18"/>
        <v>29077</v>
      </c>
      <c r="M615" s="3">
        <f t="shared" si="19"/>
        <v>32.892533936651581</v>
      </c>
    </row>
    <row r="616" spans="1:13" x14ac:dyDescent="0.35">
      <c r="A616" t="s">
        <v>11</v>
      </c>
      <c r="B616" t="s">
        <v>62</v>
      </c>
      <c r="C616" t="s">
        <v>27</v>
      </c>
      <c r="D616" t="s">
        <v>28</v>
      </c>
      <c r="E616" t="s">
        <v>43</v>
      </c>
      <c r="F616" s="4">
        <v>1415</v>
      </c>
      <c r="G616" s="9" t="s">
        <v>1262</v>
      </c>
      <c r="H616" s="1">
        <v>45449</v>
      </c>
      <c r="I616" t="s">
        <v>45</v>
      </c>
      <c r="J616" t="s">
        <v>1263</v>
      </c>
      <c r="K616" t="s">
        <v>32</v>
      </c>
      <c r="L616" s="3">
        <f t="shared" si="18"/>
        <v>35744</v>
      </c>
      <c r="M616" s="3">
        <f t="shared" si="19"/>
        <v>25.26077738515901</v>
      </c>
    </row>
    <row r="617" spans="1:13" x14ac:dyDescent="0.35">
      <c r="A617" t="s">
        <v>11</v>
      </c>
      <c r="B617" t="s">
        <v>20</v>
      </c>
      <c r="C617" t="s">
        <v>13</v>
      </c>
      <c r="D617" t="s">
        <v>34</v>
      </c>
      <c r="E617" t="s">
        <v>23</v>
      </c>
      <c r="F617" s="4">
        <v>600</v>
      </c>
      <c r="G617" s="9" t="s">
        <v>1264</v>
      </c>
      <c r="H617" s="1">
        <v>45425</v>
      </c>
      <c r="I617" t="s">
        <v>48</v>
      </c>
      <c r="J617" t="s">
        <v>1265</v>
      </c>
      <c r="K617" t="s">
        <v>32</v>
      </c>
      <c r="L617" s="3">
        <f t="shared" si="18"/>
        <v>22592</v>
      </c>
      <c r="M617" s="3">
        <f t="shared" si="19"/>
        <v>37.653333333333336</v>
      </c>
    </row>
    <row r="618" spans="1:13" x14ac:dyDescent="0.35">
      <c r="A618" t="s">
        <v>26</v>
      </c>
      <c r="B618" t="s">
        <v>59</v>
      </c>
      <c r="C618" t="s">
        <v>13</v>
      </c>
      <c r="D618" t="s">
        <v>22</v>
      </c>
      <c r="E618">
        <v>30</v>
      </c>
      <c r="F618" s="4">
        <v>1568</v>
      </c>
      <c r="G618" s="9" t="s">
        <v>1266</v>
      </c>
      <c r="H618" s="1">
        <v>45222</v>
      </c>
      <c r="I618" t="s">
        <v>17</v>
      </c>
      <c r="J618" t="s">
        <v>1267</v>
      </c>
      <c r="K618" t="s">
        <v>19</v>
      </c>
      <c r="L618" s="3">
        <f t="shared" si="18"/>
        <v>22730</v>
      </c>
      <c r="M618" s="3">
        <f t="shared" si="19"/>
        <v>14.496173469387756</v>
      </c>
    </row>
    <row r="619" spans="1:13" x14ac:dyDescent="0.35">
      <c r="A619" t="s">
        <v>39</v>
      </c>
      <c r="B619" t="s">
        <v>20</v>
      </c>
      <c r="C619" t="s">
        <v>77</v>
      </c>
      <c r="D619" t="s">
        <v>14</v>
      </c>
      <c r="E619">
        <v>30</v>
      </c>
      <c r="F619" s="4">
        <v>1383</v>
      </c>
      <c r="G619" s="9" t="s">
        <v>1268</v>
      </c>
      <c r="H619" s="1">
        <v>45470</v>
      </c>
      <c r="I619" t="s">
        <v>48</v>
      </c>
      <c r="J619" t="s">
        <v>1269</v>
      </c>
      <c r="K619" t="s">
        <v>32</v>
      </c>
      <c r="L619" s="3">
        <f t="shared" si="18"/>
        <v>7696</v>
      </c>
      <c r="M619" s="3">
        <f t="shared" si="19"/>
        <v>5.5647143890094002</v>
      </c>
    </row>
    <row r="620" spans="1:13" x14ac:dyDescent="0.35">
      <c r="A620" t="s">
        <v>26</v>
      </c>
      <c r="B620" t="s">
        <v>20</v>
      </c>
      <c r="C620" t="s">
        <v>33</v>
      </c>
      <c r="D620" t="s">
        <v>14</v>
      </c>
      <c r="E620" t="s">
        <v>23</v>
      </c>
      <c r="F620" s="4">
        <v>1066</v>
      </c>
      <c r="G620" s="9" t="s">
        <v>1270</v>
      </c>
      <c r="H620" s="1">
        <v>45215</v>
      </c>
      <c r="I620" t="s">
        <v>45</v>
      </c>
      <c r="J620" t="s">
        <v>1271</v>
      </c>
      <c r="K620" t="s">
        <v>32</v>
      </c>
      <c r="L620" s="3">
        <f t="shared" si="18"/>
        <v>30159</v>
      </c>
      <c r="M620" s="3">
        <f t="shared" si="19"/>
        <v>28.291744840525329</v>
      </c>
    </row>
    <row r="621" spans="1:13" x14ac:dyDescent="0.35">
      <c r="A621" t="s">
        <v>53</v>
      </c>
      <c r="B621" t="s">
        <v>59</v>
      </c>
      <c r="C621" t="s">
        <v>77</v>
      </c>
      <c r="D621" t="s">
        <v>89</v>
      </c>
      <c r="E621" t="s">
        <v>43</v>
      </c>
      <c r="F621" s="4">
        <v>1759</v>
      </c>
      <c r="G621" s="9" t="s">
        <v>1272</v>
      </c>
      <c r="H621" s="1">
        <v>45480</v>
      </c>
      <c r="I621" t="s">
        <v>30</v>
      </c>
      <c r="J621" t="s">
        <v>1273</v>
      </c>
      <c r="K621" t="s">
        <v>38</v>
      </c>
      <c r="L621" s="3">
        <f t="shared" si="18"/>
        <v>31641</v>
      </c>
      <c r="M621" s="3">
        <f t="shared" si="19"/>
        <v>17.988061398521886</v>
      </c>
    </row>
    <row r="622" spans="1:13" x14ac:dyDescent="0.35">
      <c r="A622" t="s">
        <v>53</v>
      </c>
      <c r="B622" t="s">
        <v>40</v>
      </c>
      <c r="C622" t="s">
        <v>27</v>
      </c>
      <c r="D622" t="s">
        <v>28</v>
      </c>
      <c r="E622">
        <v>30</v>
      </c>
      <c r="F622" s="4">
        <v>1040</v>
      </c>
      <c r="G622" s="9" t="s">
        <v>1274</v>
      </c>
      <c r="H622" s="1">
        <v>45239</v>
      </c>
      <c r="I622" t="s">
        <v>30</v>
      </c>
      <c r="J622" t="s">
        <v>1275</v>
      </c>
      <c r="K622" t="s">
        <v>52</v>
      </c>
      <c r="L622" s="3">
        <f t="shared" si="18"/>
        <v>45896</v>
      </c>
      <c r="M622" s="3">
        <f t="shared" si="19"/>
        <v>44.130769230769232</v>
      </c>
    </row>
    <row r="623" spans="1:13" x14ac:dyDescent="0.35">
      <c r="A623" t="s">
        <v>39</v>
      </c>
      <c r="B623" t="s">
        <v>20</v>
      </c>
      <c r="C623" t="s">
        <v>33</v>
      </c>
      <c r="D623" t="s">
        <v>22</v>
      </c>
      <c r="E623">
        <v>60</v>
      </c>
      <c r="F623" s="4">
        <v>1796</v>
      </c>
      <c r="G623" s="9" t="s">
        <v>1276</v>
      </c>
      <c r="H623" s="1">
        <v>45278</v>
      </c>
      <c r="I623" t="s">
        <v>30</v>
      </c>
      <c r="J623" t="s">
        <v>1277</v>
      </c>
      <c r="K623" t="s">
        <v>38</v>
      </c>
      <c r="L623" s="3">
        <f t="shared" si="18"/>
        <v>15290</v>
      </c>
      <c r="M623" s="3">
        <f t="shared" si="19"/>
        <v>8.5133630289532292</v>
      </c>
    </row>
    <row r="624" spans="1:13" x14ac:dyDescent="0.35">
      <c r="A624" t="s">
        <v>86</v>
      </c>
      <c r="B624" t="s">
        <v>12</v>
      </c>
      <c r="C624" t="s">
        <v>77</v>
      </c>
      <c r="D624" t="s">
        <v>89</v>
      </c>
      <c r="E624" t="s">
        <v>23</v>
      </c>
      <c r="F624" s="4">
        <v>1545</v>
      </c>
      <c r="G624" s="9" t="s">
        <v>1278</v>
      </c>
      <c r="H624" s="1">
        <v>45499</v>
      </c>
      <c r="I624" t="s">
        <v>17</v>
      </c>
      <c r="J624" t="s">
        <v>1279</v>
      </c>
      <c r="K624" t="s">
        <v>32</v>
      </c>
      <c r="L624" s="3">
        <f t="shared" si="18"/>
        <v>2653</v>
      </c>
      <c r="M624" s="3">
        <f t="shared" si="19"/>
        <v>1.7171521035598705</v>
      </c>
    </row>
    <row r="625" spans="1:13" x14ac:dyDescent="0.35">
      <c r="A625" t="s">
        <v>53</v>
      </c>
      <c r="B625" t="s">
        <v>20</v>
      </c>
      <c r="C625" t="s">
        <v>13</v>
      </c>
      <c r="D625" t="s">
        <v>28</v>
      </c>
      <c r="E625">
        <v>60</v>
      </c>
      <c r="F625" s="4">
        <v>1615</v>
      </c>
      <c r="G625" s="9" t="s">
        <v>1280</v>
      </c>
      <c r="H625" s="1">
        <v>45431</v>
      </c>
      <c r="I625" t="s">
        <v>48</v>
      </c>
      <c r="J625" t="s">
        <v>1281</v>
      </c>
      <c r="K625" t="s">
        <v>56</v>
      </c>
      <c r="L625" s="3">
        <f t="shared" si="18"/>
        <v>48316</v>
      </c>
      <c r="M625" s="3">
        <f t="shared" si="19"/>
        <v>29.91702786377709</v>
      </c>
    </row>
    <row r="626" spans="1:13" x14ac:dyDescent="0.35">
      <c r="A626" t="s">
        <v>39</v>
      </c>
      <c r="B626" t="s">
        <v>40</v>
      </c>
      <c r="C626" t="s">
        <v>77</v>
      </c>
      <c r="D626" t="s">
        <v>14</v>
      </c>
      <c r="E626" t="s">
        <v>23</v>
      </c>
      <c r="F626" s="4">
        <v>1793</v>
      </c>
      <c r="G626" s="9" t="s">
        <v>1282</v>
      </c>
      <c r="H626" s="1">
        <v>45259</v>
      </c>
      <c r="I626" t="s">
        <v>36</v>
      </c>
      <c r="J626" t="s">
        <v>1283</v>
      </c>
      <c r="K626" t="s">
        <v>32</v>
      </c>
      <c r="L626" s="3">
        <f t="shared" si="18"/>
        <v>3737</v>
      </c>
      <c r="M626" s="3">
        <f t="shared" si="19"/>
        <v>2.0842163970998326</v>
      </c>
    </row>
    <row r="627" spans="1:13" x14ac:dyDescent="0.35">
      <c r="A627" t="s">
        <v>26</v>
      </c>
      <c r="B627" t="s">
        <v>40</v>
      </c>
      <c r="C627" t="s">
        <v>21</v>
      </c>
      <c r="D627" t="s">
        <v>89</v>
      </c>
      <c r="E627" t="s">
        <v>15</v>
      </c>
      <c r="F627" s="4">
        <v>1283</v>
      </c>
      <c r="G627" s="9" t="s">
        <v>1284</v>
      </c>
      <c r="H627" s="1">
        <v>45387</v>
      </c>
      <c r="I627" t="s">
        <v>30</v>
      </c>
      <c r="J627" t="s">
        <v>1285</v>
      </c>
      <c r="K627" t="s">
        <v>32</v>
      </c>
      <c r="L627" s="3">
        <f t="shared" si="18"/>
        <v>30409</v>
      </c>
      <c r="M627" s="3">
        <f t="shared" si="19"/>
        <v>23.701480904130943</v>
      </c>
    </row>
    <row r="628" spans="1:13" x14ac:dyDescent="0.35">
      <c r="A628" t="s">
        <v>53</v>
      </c>
      <c r="B628" t="s">
        <v>59</v>
      </c>
      <c r="C628" t="s">
        <v>21</v>
      </c>
      <c r="D628" t="s">
        <v>28</v>
      </c>
      <c r="E628" t="s">
        <v>43</v>
      </c>
      <c r="F628" s="4">
        <v>635</v>
      </c>
      <c r="G628" s="9" t="s">
        <v>1286</v>
      </c>
      <c r="H628" s="1">
        <v>45195</v>
      </c>
      <c r="I628" t="s">
        <v>48</v>
      </c>
      <c r="J628" t="s">
        <v>1287</v>
      </c>
      <c r="K628" t="s">
        <v>52</v>
      </c>
      <c r="L628" s="3">
        <f t="shared" si="18"/>
        <v>8357</v>
      </c>
      <c r="M628" s="3">
        <f t="shared" si="19"/>
        <v>13.160629921259842</v>
      </c>
    </row>
    <row r="629" spans="1:13" x14ac:dyDescent="0.35">
      <c r="A629" t="s">
        <v>11</v>
      </c>
      <c r="B629" t="s">
        <v>12</v>
      </c>
      <c r="C629" t="s">
        <v>33</v>
      </c>
      <c r="D629" t="s">
        <v>28</v>
      </c>
      <c r="E629">
        <v>60</v>
      </c>
      <c r="F629" s="4">
        <v>1700</v>
      </c>
      <c r="G629" s="9" t="s">
        <v>1288</v>
      </c>
      <c r="H629" s="1">
        <v>45415</v>
      </c>
      <c r="I629" t="s">
        <v>45</v>
      </c>
      <c r="J629" t="s">
        <v>1289</v>
      </c>
      <c r="K629" t="s">
        <v>52</v>
      </c>
      <c r="L629" s="3">
        <f t="shared" si="18"/>
        <v>25492</v>
      </c>
      <c r="M629" s="3">
        <f t="shared" si="19"/>
        <v>14.99529411764706</v>
      </c>
    </row>
    <row r="630" spans="1:13" x14ac:dyDescent="0.35">
      <c r="A630" t="s">
        <v>11</v>
      </c>
      <c r="B630" t="s">
        <v>59</v>
      </c>
      <c r="C630" t="s">
        <v>27</v>
      </c>
      <c r="D630" t="s">
        <v>28</v>
      </c>
      <c r="E630">
        <v>60</v>
      </c>
      <c r="F630" s="4">
        <v>1428</v>
      </c>
      <c r="G630" s="9" t="s">
        <v>1290</v>
      </c>
      <c r="H630" s="1">
        <v>45283</v>
      </c>
      <c r="I630" t="s">
        <v>36</v>
      </c>
      <c r="J630" t="s">
        <v>1291</v>
      </c>
      <c r="K630" t="s">
        <v>19</v>
      </c>
      <c r="L630" s="3">
        <f t="shared" si="18"/>
        <v>22964</v>
      </c>
      <c r="M630" s="3">
        <f t="shared" si="19"/>
        <v>16.081232492997199</v>
      </c>
    </row>
    <row r="631" spans="1:13" x14ac:dyDescent="0.35">
      <c r="A631" t="s">
        <v>11</v>
      </c>
      <c r="B631" t="s">
        <v>62</v>
      </c>
      <c r="C631" t="s">
        <v>77</v>
      </c>
      <c r="D631" t="s">
        <v>28</v>
      </c>
      <c r="E631">
        <v>60</v>
      </c>
      <c r="F631" s="4">
        <v>786</v>
      </c>
      <c r="G631" s="9" t="s">
        <v>1292</v>
      </c>
      <c r="H631" s="1">
        <v>45298</v>
      </c>
      <c r="I631" t="s">
        <v>30</v>
      </c>
      <c r="J631" t="s">
        <v>1293</v>
      </c>
      <c r="K631" t="s">
        <v>38</v>
      </c>
      <c r="L631" s="3">
        <f t="shared" si="18"/>
        <v>11656</v>
      </c>
      <c r="M631" s="3">
        <f t="shared" si="19"/>
        <v>14.829516539440204</v>
      </c>
    </row>
    <row r="632" spans="1:13" x14ac:dyDescent="0.35">
      <c r="A632" t="s">
        <v>53</v>
      </c>
      <c r="B632" t="s">
        <v>62</v>
      </c>
      <c r="C632" t="s">
        <v>77</v>
      </c>
      <c r="D632" t="s">
        <v>22</v>
      </c>
      <c r="E632">
        <v>60</v>
      </c>
      <c r="F632" s="4">
        <v>973</v>
      </c>
      <c r="G632" s="9" t="s">
        <v>1294</v>
      </c>
      <c r="H632" s="1">
        <v>45413</v>
      </c>
      <c r="I632" t="s">
        <v>45</v>
      </c>
      <c r="J632" t="s">
        <v>1295</v>
      </c>
      <c r="K632" t="s">
        <v>38</v>
      </c>
      <c r="L632" s="3">
        <f t="shared" si="18"/>
        <v>3690</v>
      </c>
      <c r="M632" s="3">
        <f t="shared" si="19"/>
        <v>3.7923946557040082</v>
      </c>
    </row>
    <row r="633" spans="1:13" x14ac:dyDescent="0.35">
      <c r="A633" t="s">
        <v>39</v>
      </c>
      <c r="B633" t="s">
        <v>59</v>
      </c>
      <c r="C633" t="s">
        <v>21</v>
      </c>
      <c r="D633" t="s">
        <v>34</v>
      </c>
      <c r="E633" t="s">
        <v>15</v>
      </c>
      <c r="F633" s="4">
        <v>1841</v>
      </c>
      <c r="G633" s="9" t="s">
        <v>1296</v>
      </c>
      <c r="H633" s="1">
        <v>45264</v>
      </c>
      <c r="I633" t="s">
        <v>45</v>
      </c>
      <c r="J633" t="s">
        <v>1297</v>
      </c>
      <c r="K633" t="s">
        <v>38</v>
      </c>
      <c r="L633" s="3">
        <f t="shared" si="18"/>
        <v>5308</v>
      </c>
      <c r="M633" s="3">
        <f t="shared" si="19"/>
        <v>2.8832156436719174</v>
      </c>
    </row>
    <row r="634" spans="1:13" x14ac:dyDescent="0.35">
      <c r="A634" t="s">
        <v>86</v>
      </c>
      <c r="B634" t="s">
        <v>20</v>
      </c>
      <c r="C634" t="s">
        <v>33</v>
      </c>
      <c r="D634" t="s">
        <v>14</v>
      </c>
      <c r="E634" t="s">
        <v>23</v>
      </c>
      <c r="F634" s="4">
        <v>852</v>
      </c>
      <c r="G634" s="9" t="s">
        <v>1298</v>
      </c>
      <c r="H634" s="1">
        <v>45368</v>
      </c>
      <c r="I634" t="s">
        <v>17</v>
      </c>
      <c r="J634" t="s">
        <v>1299</v>
      </c>
      <c r="K634" t="s">
        <v>56</v>
      </c>
      <c r="L634" s="3">
        <f t="shared" si="18"/>
        <v>21947</v>
      </c>
      <c r="M634" s="3">
        <f t="shared" si="19"/>
        <v>25.759389671361504</v>
      </c>
    </row>
    <row r="635" spans="1:13" x14ac:dyDescent="0.35">
      <c r="A635" t="s">
        <v>86</v>
      </c>
      <c r="B635" t="s">
        <v>20</v>
      </c>
      <c r="C635" t="s">
        <v>27</v>
      </c>
      <c r="D635" t="s">
        <v>34</v>
      </c>
      <c r="E635" t="s">
        <v>15</v>
      </c>
      <c r="F635" s="4">
        <v>1005</v>
      </c>
      <c r="G635" s="9" t="s">
        <v>1300</v>
      </c>
      <c r="H635" s="1">
        <v>45273</v>
      </c>
      <c r="I635" t="s">
        <v>45</v>
      </c>
      <c r="J635" t="s">
        <v>1301</v>
      </c>
      <c r="K635" t="s">
        <v>19</v>
      </c>
      <c r="L635" s="3">
        <f t="shared" si="18"/>
        <v>20706</v>
      </c>
      <c r="M635" s="3">
        <f t="shared" si="19"/>
        <v>20.602985074626865</v>
      </c>
    </row>
    <row r="636" spans="1:13" x14ac:dyDescent="0.35">
      <c r="A636" t="s">
        <v>26</v>
      </c>
      <c r="B636" t="s">
        <v>59</v>
      </c>
      <c r="C636" t="s">
        <v>77</v>
      </c>
      <c r="D636" t="s">
        <v>22</v>
      </c>
      <c r="E636" t="s">
        <v>23</v>
      </c>
      <c r="F636" s="4">
        <v>1746</v>
      </c>
      <c r="G636" s="9" t="s">
        <v>1302</v>
      </c>
      <c r="H636" s="1">
        <v>45377</v>
      </c>
      <c r="I636" t="s">
        <v>45</v>
      </c>
      <c r="J636" t="s">
        <v>1303</v>
      </c>
      <c r="K636" t="s">
        <v>19</v>
      </c>
      <c r="L636" s="3">
        <f t="shared" si="18"/>
        <v>9959</v>
      </c>
      <c r="M636" s="3">
        <f t="shared" si="19"/>
        <v>5.7038946162657505</v>
      </c>
    </row>
    <row r="637" spans="1:13" x14ac:dyDescent="0.35">
      <c r="A637" t="s">
        <v>86</v>
      </c>
      <c r="B637" t="s">
        <v>59</v>
      </c>
      <c r="C637" t="s">
        <v>27</v>
      </c>
      <c r="D637" t="s">
        <v>89</v>
      </c>
      <c r="E637">
        <v>30</v>
      </c>
      <c r="F637" s="4">
        <v>1257</v>
      </c>
      <c r="G637" s="9" t="s">
        <v>1304</v>
      </c>
      <c r="H637" s="1">
        <v>45291</v>
      </c>
      <c r="I637" t="s">
        <v>36</v>
      </c>
      <c r="J637" t="s">
        <v>1305</v>
      </c>
      <c r="K637" t="s">
        <v>56</v>
      </c>
      <c r="L637" s="3">
        <f t="shared" si="18"/>
        <v>23476</v>
      </c>
      <c r="M637" s="3">
        <f t="shared" si="19"/>
        <v>18.676213206046143</v>
      </c>
    </row>
    <row r="638" spans="1:13" x14ac:dyDescent="0.35">
      <c r="A638" t="s">
        <v>53</v>
      </c>
      <c r="B638" t="s">
        <v>20</v>
      </c>
      <c r="C638" t="s">
        <v>13</v>
      </c>
      <c r="D638" t="s">
        <v>34</v>
      </c>
      <c r="E638" t="s">
        <v>15</v>
      </c>
      <c r="F638" s="4">
        <v>1082</v>
      </c>
      <c r="G638" s="9" t="s">
        <v>1306</v>
      </c>
      <c r="H638" s="1">
        <v>45381</v>
      </c>
      <c r="I638" t="s">
        <v>36</v>
      </c>
      <c r="J638" t="s">
        <v>1307</v>
      </c>
      <c r="K638" t="s">
        <v>38</v>
      </c>
      <c r="L638" s="3">
        <f t="shared" si="18"/>
        <v>35390</v>
      </c>
      <c r="M638" s="3">
        <f t="shared" si="19"/>
        <v>32.707948243992604</v>
      </c>
    </row>
    <row r="639" spans="1:13" x14ac:dyDescent="0.35">
      <c r="A639" t="s">
        <v>39</v>
      </c>
      <c r="B639" t="s">
        <v>59</v>
      </c>
      <c r="C639" t="s">
        <v>33</v>
      </c>
      <c r="D639" t="s">
        <v>34</v>
      </c>
      <c r="E639" t="s">
        <v>15</v>
      </c>
      <c r="F639" s="4">
        <v>428</v>
      </c>
      <c r="G639" s="9" t="s">
        <v>1308</v>
      </c>
      <c r="H639" s="1">
        <v>45329</v>
      </c>
      <c r="I639" t="s">
        <v>17</v>
      </c>
      <c r="J639" t="s">
        <v>1309</v>
      </c>
      <c r="K639" t="s">
        <v>52</v>
      </c>
      <c r="L639" s="3">
        <f t="shared" si="18"/>
        <v>3153</v>
      </c>
      <c r="M639" s="3">
        <f t="shared" si="19"/>
        <v>7.3668224299065423</v>
      </c>
    </row>
    <row r="640" spans="1:13" x14ac:dyDescent="0.35">
      <c r="A640" t="s">
        <v>39</v>
      </c>
      <c r="B640" t="s">
        <v>59</v>
      </c>
      <c r="C640" t="s">
        <v>77</v>
      </c>
      <c r="D640" t="s">
        <v>14</v>
      </c>
      <c r="E640">
        <v>60</v>
      </c>
      <c r="F640" s="4">
        <v>793</v>
      </c>
      <c r="G640" s="9" t="s">
        <v>228</v>
      </c>
      <c r="H640" s="1">
        <v>45437</v>
      </c>
      <c r="I640" t="s">
        <v>36</v>
      </c>
      <c r="J640" t="s">
        <v>1310</v>
      </c>
      <c r="K640" t="s">
        <v>32</v>
      </c>
      <c r="L640" s="3">
        <f t="shared" si="18"/>
        <v>30051</v>
      </c>
      <c r="M640" s="3">
        <f t="shared" si="19"/>
        <v>37.8953341740227</v>
      </c>
    </row>
    <row r="641" spans="1:13" x14ac:dyDescent="0.35">
      <c r="A641" t="s">
        <v>53</v>
      </c>
      <c r="B641" t="s">
        <v>40</v>
      </c>
      <c r="C641" t="s">
        <v>21</v>
      </c>
      <c r="D641" t="s">
        <v>14</v>
      </c>
      <c r="E641">
        <v>60</v>
      </c>
      <c r="F641" s="4">
        <v>140</v>
      </c>
      <c r="G641" s="9" t="s">
        <v>1311</v>
      </c>
      <c r="H641" s="1">
        <v>45221</v>
      </c>
      <c r="I641" t="s">
        <v>36</v>
      </c>
      <c r="J641" t="s">
        <v>1312</v>
      </c>
      <c r="K641" t="s">
        <v>56</v>
      </c>
      <c r="L641" s="3">
        <f t="shared" si="18"/>
        <v>31617</v>
      </c>
      <c r="M641" s="3">
        <f t="shared" si="19"/>
        <v>225.83571428571429</v>
      </c>
    </row>
    <row r="642" spans="1:13" x14ac:dyDescent="0.35">
      <c r="A642" t="s">
        <v>11</v>
      </c>
      <c r="B642" t="s">
        <v>59</v>
      </c>
      <c r="C642" t="s">
        <v>33</v>
      </c>
      <c r="D642" t="s">
        <v>22</v>
      </c>
      <c r="E642">
        <v>30</v>
      </c>
      <c r="F642" s="4">
        <v>862</v>
      </c>
      <c r="G642" s="9" t="s">
        <v>1313</v>
      </c>
      <c r="H642" s="1">
        <v>45414</v>
      </c>
      <c r="I642" t="s">
        <v>45</v>
      </c>
      <c r="J642" t="s">
        <v>1314</v>
      </c>
      <c r="K642" t="s">
        <v>38</v>
      </c>
      <c r="L642" s="3">
        <f t="shared" ref="L642:L705" si="20">VALUE(SUBSTITUTE(G642,"$",""))</f>
        <v>42692</v>
      </c>
      <c r="M642" s="3">
        <f t="shared" si="19"/>
        <v>49.526682134570763</v>
      </c>
    </row>
    <row r="643" spans="1:13" x14ac:dyDescent="0.35">
      <c r="A643" t="s">
        <v>11</v>
      </c>
      <c r="B643" t="s">
        <v>40</v>
      </c>
      <c r="C643" t="s">
        <v>21</v>
      </c>
      <c r="D643" t="s">
        <v>89</v>
      </c>
      <c r="E643">
        <v>30</v>
      </c>
      <c r="F643" s="4">
        <v>1888</v>
      </c>
      <c r="G643" s="9" t="s">
        <v>1315</v>
      </c>
      <c r="H643" s="1">
        <v>45156</v>
      </c>
      <c r="I643" t="s">
        <v>45</v>
      </c>
      <c r="J643" t="s">
        <v>1316</v>
      </c>
      <c r="K643" t="s">
        <v>52</v>
      </c>
      <c r="L643" s="3">
        <f t="shared" si="20"/>
        <v>35394</v>
      </c>
      <c r="M643" s="3">
        <f t="shared" ref="M643:M706" si="21">VALUE(SUBSTITUTE(SUBSTITUTE(G643,"$",""),",",""))/F643</f>
        <v>18.746822033898304</v>
      </c>
    </row>
    <row r="644" spans="1:13" x14ac:dyDescent="0.35">
      <c r="A644" t="s">
        <v>26</v>
      </c>
      <c r="B644" t="s">
        <v>20</v>
      </c>
      <c r="C644" t="s">
        <v>21</v>
      </c>
      <c r="D644" t="s">
        <v>14</v>
      </c>
      <c r="E644" t="s">
        <v>15</v>
      </c>
      <c r="F644" s="4">
        <v>1623</v>
      </c>
      <c r="G644" s="9" t="s">
        <v>1317</v>
      </c>
      <c r="H644" s="1">
        <v>45459</v>
      </c>
      <c r="I644" t="s">
        <v>30</v>
      </c>
      <c r="J644" t="s">
        <v>1318</v>
      </c>
      <c r="K644" t="s">
        <v>19</v>
      </c>
      <c r="L644" s="3">
        <f t="shared" si="20"/>
        <v>26804</v>
      </c>
      <c r="M644" s="3">
        <f t="shared" si="21"/>
        <v>16.515095502156502</v>
      </c>
    </row>
    <row r="645" spans="1:13" x14ac:dyDescent="0.35">
      <c r="A645" t="s">
        <v>86</v>
      </c>
      <c r="B645" t="s">
        <v>62</v>
      </c>
      <c r="C645" t="s">
        <v>21</v>
      </c>
      <c r="D645" t="s">
        <v>22</v>
      </c>
      <c r="E645">
        <v>60</v>
      </c>
      <c r="F645" s="4">
        <v>1641</v>
      </c>
      <c r="G645" s="9" t="s">
        <v>1319</v>
      </c>
      <c r="H645" s="1">
        <v>45148</v>
      </c>
      <c r="I645" t="s">
        <v>45</v>
      </c>
      <c r="J645" t="s">
        <v>1320</v>
      </c>
      <c r="K645" t="s">
        <v>32</v>
      </c>
      <c r="L645" s="3">
        <f t="shared" si="20"/>
        <v>7106</v>
      </c>
      <c r="M645" s="3">
        <f t="shared" si="21"/>
        <v>4.3302864107251677</v>
      </c>
    </row>
    <row r="646" spans="1:13" x14ac:dyDescent="0.35">
      <c r="A646" t="s">
        <v>11</v>
      </c>
      <c r="B646" t="s">
        <v>12</v>
      </c>
      <c r="C646" t="s">
        <v>21</v>
      </c>
      <c r="D646" t="s">
        <v>22</v>
      </c>
      <c r="E646">
        <v>60</v>
      </c>
      <c r="F646" s="4">
        <v>622</v>
      </c>
      <c r="G646" s="9" t="s">
        <v>1321</v>
      </c>
      <c r="H646" s="1">
        <v>45360</v>
      </c>
      <c r="I646" t="s">
        <v>48</v>
      </c>
      <c r="J646" t="s">
        <v>1322</v>
      </c>
      <c r="K646" t="s">
        <v>32</v>
      </c>
      <c r="L646" s="3">
        <f t="shared" si="20"/>
        <v>30194</v>
      </c>
      <c r="M646" s="3">
        <f t="shared" si="21"/>
        <v>48.543408360128616</v>
      </c>
    </row>
    <row r="647" spans="1:13" x14ac:dyDescent="0.35">
      <c r="A647" t="s">
        <v>26</v>
      </c>
      <c r="B647" t="s">
        <v>40</v>
      </c>
      <c r="C647" t="s">
        <v>77</v>
      </c>
      <c r="D647" t="s">
        <v>89</v>
      </c>
      <c r="E647" t="s">
        <v>15</v>
      </c>
      <c r="F647" s="4">
        <v>1529</v>
      </c>
      <c r="G647" s="9" t="s">
        <v>1323</v>
      </c>
      <c r="H647" s="1">
        <v>45408</v>
      </c>
      <c r="I647" t="s">
        <v>17</v>
      </c>
      <c r="J647" t="s">
        <v>1324</v>
      </c>
      <c r="K647" t="s">
        <v>32</v>
      </c>
      <c r="L647" s="3">
        <f t="shared" si="20"/>
        <v>22974</v>
      </c>
      <c r="M647" s="3">
        <f t="shared" si="21"/>
        <v>15.025506867233485</v>
      </c>
    </row>
    <row r="648" spans="1:13" x14ac:dyDescent="0.35">
      <c r="A648" t="s">
        <v>11</v>
      </c>
      <c r="B648" t="s">
        <v>12</v>
      </c>
      <c r="C648" t="s">
        <v>13</v>
      </c>
      <c r="D648" t="s">
        <v>34</v>
      </c>
      <c r="E648" t="s">
        <v>15</v>
      </c>
      <c r="F648" s="4">
        <v>1868</v>
      </c>
      <c r="G648" s="9" t="s">
        <v>1325</v>
      </c>
      <c r="H648" s="1">
        <v>45465</v>
      </c>
      <c r="I648" t="s">
        <v>17</v>
      </c>
      <c r="J648" t="s">
        <v>1326</v>
      </c>
      <c r="K648" t="s">
        <v>32</v>
      </c>
      <c r="L648" s="3">
        <f t="shared" si="20"/>
        <v>14793</v>
      </c>
      <c r="M648" s="3">
        <f t="shared" si="21"/>
        <v>7.9191648822269807</v>
      </c>
    </row>
    <row r="649" spans="1:13" x14ac:dyDescent="0.35">
      <c r="A649" t="s">
        <v>53</v>
      </c>
      <c r="B649" t="s">
        <v>20</v>
      </c>
      <c r="C649" t="s">
        <v>13</v>
      </c>
      <c r="D649" t="s">
        <v>89</v>
      </c>
      <c r="E649">
        <v>30</v>
      </c>
      <c r="F649" s="4">
        <v>421</v>
      </c>
      <c r="G649" s="9" t="s">
        <v>1327</v>
      </c>
      <c r="H649" s="1">
        <v>45406</v>
      </c>
      <c r="I649" t="s">
        <v>36</v>
      </c>
      <c r="J649" t="s">
        <v>1328</v>
      </c>
      <c r="K649" t="s">
        <v>19</v>
      </c>
      <c r="L649" s="3">
        <f t="shared" si="20"/>
        <v>11743</v>
      </c>
      <c r="M649" s="3">
        <f t="shared" si="21"/>
        <v>27.893111638954871</v>
      </c>
    </row>
    <row r="650" spans="1:13" x14ac:dyDescent="0.35">
      <c r="A650" t="s">
        <v>11</v>
      </c>
      <c r="B650" t="s">
        <v>59</v>
      </c>
      <c r="C650" t="s">
        <v>33</v>
      </c>
      <c r="D650" t="s">
        <v>89</v>
      </c>
      <c r="E650" t="s">
        <v>15</v>
      </c>
      <c r="F650" s="4">
        <v>1140</v>
      </c>
      <c r="G650" s="9" t="s">
        <v>1329</v>
      </c>
      <c r="H650" s="1">
        <v>45147</v>
      </c>
      <c r="I650" t="s">
        <v>30</v>
      </c>
      <c r="J650" t="s">
        <v>1330</v>
      </c>
      <c r="K650" t="s">
        <v>32</v>
      </c>
      <c r="L650" s="3">
        <f t="shared" si="20"/>
        <v>11932</v>
      </c>
      <c r="M650" s="3">
        <f t="shared" si="21"/>
        <v>10.466666666666667</v>
      </c>
    </row>
    <row r="651" spans="1:13" x14ac:dyDescent="0.35">
      <c r="A651" t="s">
        <v>11</v>
      </c>
      <c r="B651" t="s">
        <v>40</v>
      </c>
      <c r="C651" t="s">
        <v>77</v>
      </c>
      <c r="D651" t="s">
        <v>34</v>
      </c>
      <c r="E651" t="s">
        <v>23</v>
      </c>
      <c r="F651" s="4">
        <v>1689</v>
      </c>
      <c r="G651" s="9" t="s">
        <v>1331</v>
      </c>
      <c r="H651" s="1">
        <v>45322</v>
      </c>
      <c r="I651" t="s">
        <v>17</v>
      </c>
      <c r="J651" t="s">
        <v>1332</v>
      </c>
      <c r="K651" t="s">
        <v>32</v>
      </c>
      <c r="L651" s="3">
        <f t="shared" si="20"/>
        <v>48095</v>
      </c>
      <c r="M651" s="3">
        <f t="shared" si="21"/>
        <v>28.475429248075784</v>
      </c>
    </row>
    <row r="652" spans="1:13" x14ac:dyDescent="0.35">
      <c r="A652" t="s">
        <v>11</v>
      </c>
      <c r="B652" t="s">
        <v>62</v>
      </c>
      <c r="C652" t="s">
        <v>77</v>
      </c>
      <c r="D652" t="s">
        <v>34</v>
      </c>
      <c r="E652">
        <v>30</v>
      </c>
      <c r="F652" s="4">
        <v>899</v>
      </c>
      <c r="G652" s="9" t="s">
        <v>1333</v>
      </c>
      <c r="H652" s="1">
        <v>45292</v>
      </c>
      <c r="I652" t="s">
        <v>48</v>
      </c>
      <c r="J652" t="s">
        <v>1334</v>
      </c>
      <c r="K652" t="s">
        <v>32</v>
      </c>
      <c r="L652" s="3">
        <f t="shared" si="20"/>
        <v>30188</v>
      </c>
      <c r="M652" s="3">
        <f t="shared" si="21"/>
        <v>33.579532814238043</v>
      </c>
    </row>
    <row r="653" spans="1:13" x14ac:dyDescent="0.35">
      <c r="A653" t="s">
        <v>11</v>
      </c>
      <c r="B653" t="s">
        <v>62</v>
      </c>
      <c r="C653" t="s">
        <v>21</v>
      </c>
      <c r="D653" t="s">
        <v>89</v>
      </c>
      <c r="E653" t="s">
        <v>43</v>
      </c>
      <c r="F653" s="4">
        <v>1631</v>
      </c>
      <c r="G653" s="9" t="s">
        <v>1335</v>
      </c>
      <c r="H653" s="1">
        <v>45449</v>
      </c>
      <c r="I653" t="s">
        <v>17</v>
      </c>
      <c r="J653" t="s">
        <v>1336</v>
      </c>
      <c r="K653" t="s">
        <v>38</v>
      </c>
      <c r="L653" s="3">
        <f t="shared" si="20"/>
        <v>1499</v>
      </c>
      <c r="M653" s="3">
        <f t="shared" si="21"/>
        <v>0.9190680564071122</v>
      </c>
    </row>
    <row r="654" spans="1:13" x14ac:dyDescent="0.35">
      <c r="A654" t="s">
        <v>11</v>
      </c>
      <c r="B654" t="s">
        <v>62</v>
      </c>
      <c r="C654" t="s">
        <v>21</v>
      </c>
      <c r="D654" t="s">
        <v>89</v>
      </c>
      <c r="E654" t="s">
        <v>15</v>
      </c>
      <c r="F654" s="4">
        <v>319</v>
      </c>
      <c r="G654" s="9" t="s">
        <v>1337</v>
      </c>
      <c r="H654" s="1">
        <v>45425</v>
      </c>
      <c r="I654" t="s">
        <v>36</v>
      </c>
      <c r="J654" t="s">
        <v>1338</v>
      </c>
      <c r="K654" t="s">
        <v>52</v>
      </c>
      <c r="L654" s="3">
        <f t="shared" si="20"/>
        <v>13155</v>
      </c>
      <c r="M654" s="3">
        <f t="shared" si="21"/>
        <v>41.238244514106583</v>
      </c>
    </row>
    <row r="655" spans="1:13" x14ac:dyDescent="0.35">
      <c r="A655" t="s">
        <v>39</v>
      </c>
      <c r="B655" t="s">
        <v>12</v>
      </c>
      <c r="C655" t="s">
        <v>77</v>
      </c>
      <c r="D655" t="s">
        <v>22</v>
      </c>
      <c r="E655" t="s">
        <v>43</v>
      </c>
      <c r="F655" s="4">
        <v>152</v>
      </c>
      <c r="G655" s="9" t="s">
        <v>1339</v>
      </c>
      <c r="H655" s="1">
        <v>45230</v>
      </c>
      <c r="I655" t="s">
        <v>48</v>
      </c>
      <c r="J655" t="s">
        <v>1340</v>
      </c>
      <c r="K655" t="s">
        <v>52</v>
      </c>
      <c r="L655" s="3">
        <f t="shared" si="20"/>
        <v>12327</v>
      </c>
      <c r="M655" s="3">
        <f t="shared" si="21"/>
        <v>81.098684210526315</v>
      </c>
    </row>
    <row r="656" spans="1:13" x14ac:dyDescent="0.35">
      <c r="A656" t="s">
        <v>39</v>
      </c>
      <c r="B656" t="s">
        <v>12</v>
      </c>
      <c r="C656" t="s">
        <v>21</v>
      </c>
      <c r="D656" t="s">
        <v>89</v>
      </c>
      <c r="E656" t="s">
        <v>15</v>
      </c>
      <c r="F656" s="4">
        <v>1283</v>
      </c>
      <c r="G656" s="9" t="s">
        <v>1341</v>
      </c>
      <c r="H656" s="1">
        <v>45425</v>
      </c>
      <c r="I656" t="s">
        <v>17</v>
      </c>
      <c r="J656" t="s">
        <v>1342</v>
      </c>
      <c r="K656" t="s">
        <v>19</v>
      </c>
      <c r="L656" s="3">
        <f t="shared" si="20"/>
        <v>2668</v>
      </c>
      <c r="M656" s="3">
        <f t="shared" si="21"/>
        <v>2.0795011691348404</v>
      </c>
    </row>
    <row r="657" spans="1:13" x14ac:dyDescent="0.35">
      <c r="A657" t="s">
        <v>53</v>
      </c>
      <c r="B657" t="s">
        <v>12</v>
      </c>
      <c r="C657" t="s">
        <v>33</v>
      </c>
      <c r="D657" t="s">
        <v>14</v>
      </c>
      <c r="E657" t="s">
        <v>23</v>
      </c>
      <c r="F657" s="4">
        <v>1508</v>
      </c>
      <c r="G657" s="9" t="s">
        <v>1343</v>
      </c>
      <c r="H657" s="1">
        <v>45285</v>
      </c>
      <c r="I657" t="s">
        <v>48</v>
      </c>
      <c r="J657" t="s">
        <v>1344</v>
      </c>
      <c r="K657" t="s">
        <v>32</v>
      </c>
      <c r="L657" s="3">
        <f t="shared" si="20"/>
        <v>41269</v>
      </c>
      <c r="M657" s="3">
        <f t="shared" si="21"/>
        <v>27.366710875331567</v>
      </c>
    </row>
    <row r="658" spans="1:13" x14ac:dyDescent="0.35">
      <c r="A658" t="s">
        <v>26</v>
      </c>
      <c r="B658" t="s">
        <v>59</v>
      </c>
      <c r="C658" t="s">
        <v>27</v>
      </c>
      <c r="D658" t="s">
        <v>14</v>
      </c>
      <c r="E658">
        <v>30</v>
      </c>
      <c r="F658" s="4">
        <v>774</v>
      </c>
      <c r="G658" s="9" t="s">
        <v>1345</v>
      </c>
      <c r="H658" s="1">
        <v>45442</v>
      </c>
      <c r="I658" t="s">
        <v>17</v>
      </c>
      <c r="J658" t="s">
        <v>1346</v>
      </c>
      <c r="K658" t="s">
        <v>32</v>
      </c>
      <c r="L658" s="3">
        <f t="shared" si="20"/>
        <v>26648</v>
      </c>
      <c r="M658" s="3">
        <f t="shared" si="21"/>
        <v>34.428940568475454</v>
      </c>
    </row>
    <row r="659" spans="1:13" x14ac:dyDescent="0.35">
      <c r="A659" t="s">
        <v>53</v>
      </c>
      <c r="B659" t="s">
        <v>62</v>
      </c>
      <c r="C659" t="s">
        <v>77</v>
      </c>
      <c r="D659" t="s">
        <v>28</v>
      </c>
      <c r="E659">
        <v>30</v>
      </c>
      <c r="F659" s="4">
        <v>255</v>
      </c>
      <c r="G659" s="9" t="s">
        <v>1347</v>
      </c>
      <c r="H659" s="1">
        <v>45381</v>
      </c>
      <c r="I659" t="s">
        <v>30</v>
      </c>
      <c r="J659" t="s">
        <v>1348</v>
      </c>
      <c r="K659" t="s">
        <v>56</v>
      </c>
      <c r="L659" s="3">
        <f t="shared" si="20"/>
        <v>47763</v>
      </c>
      <c r="M659" s="3">
        <f t="shared" si="21"/>
        <v>187.30588235294118</v>
      </c>
    </row>
    <row r="660" spans="1:13" x14ac:dyDescent="0.35">
      <c r="A660" t="s">
        <v>86</v>
      </c>
      <c r="B660" t="s">
        <v>62</v>
      </c>
      <c r="C660" t="s">
        <v>13</v>
      </c>
      <c r="D660" t="s">
        <v>34</v>
      </c>
      <c r="E660" t="s">
        <v>43</v>
      </c>
      <c r="F660" s="4">
        <v>1460</v>
      </c>
      <c r="G660" s="9" t="s">
        <v>1349</v>
      </c>
      <c r="H660" s="1">
        <v>45209</v>
      </c>
      <c r="I660" t="s">
        <v>17</v>
      </c>
      <c r="J660" t="s">
        <v>1350</v>
      </c>
      <c r="K660" t="s">
        <v>19</v>
      </c>
      <c r="L660" s="3">
        <f t="shared" si="20"/>
        <v>22865</v>
      </c>
      <c r="M660" s="3">
        <f t="shared" si="21"/>
        <v>15.66095890410959</v>
      </c>
    </row>
    <row r="661" spans="1:13" x14ac:dyDescent="0.35">
      <c r="A661" t="s">
        <v>11</v>
      </c>
      <c r="B661" t="s">
        <v>12</v>
      </c>
      <c r="C661" t="s">
        <v>21</v>
      </c>
      <c r="D661" t="s">
        <v>14</v>
      </c>
      <c r="E661">
        <v>30</v>
      </c>
      <c r="F661" s="4">
        <v>879</v>
      </c>
      <c r="G661" s="9" t="s">
        <v>1351</v>
      </c>
      <c r="H661" s="1">
        <v>45395</v>
      </c>
      <c r="I661" t="s">
        <v>30</v>
      </c>
      <c r="J661" t="s">
        <v>1352</v>
      </c>
      <c r="K661" t="s">
        <v>32</v>
      </c>
      <c r="L661" s="3">
        <f t="shared" si="20"/>
        <v>6810</v>
      </c>
      <c r="M661" s="3">
        <f t="shared" si="21"/>
        <v>7.7474402730375429</v>
      </c>
    </row>
    <row r="662" spans="1:13" x14ac:dyDescent="0.35">
      <c r="A662" t="s">
        <v>11</v>
      </c>
      <c r="B662" t="s">
        <v>40</v>
      </c>
      <c r="C662" t="s">
        <v>33</v>
      </c>
      <c r="D662" t="s">
        <v>22</v>
      </c>
      <c r="E662" t="s">
        <v>15</v>
      </c>
      <c r="F662" s="4">
        <v>634</v>
      </c>
      <c r="G662" s="9" t="s">
        <v>1353</v>
      </c>
      <c r="H662" s="1">
        <v>45493</v>
      </c>
      <c r="I662" t="s">
        <v>36</v>
      </c>
      <c r="J662" t="s">
        <v>1354</v>
      </c>
      <c r="K662" t="s">
        <v>38</v>
      </c>
      <c r="L662" s="3">
        <f t="shared" si="20"/>
        <v>15232</v>
      </c>
      <c r="M662" s="3">
        <f t="shared" si="21"/>
        <v>24.025236593059937</v>
      </c>
    </row>
    <row r="663" spans="1:13" x14ac:dyDescent="0.35">
      <c r="A663" t="s">
        <v>39</v>
      </c>
      <c r="B663" t="s">
        <v>20</v>
      </c>
      <c r="C663" t="s">
        <v>21</v>
      </c>
      <c r="D663" t="s">
        <v>22</v>
      </c>
      <c r="E663" t="s">
        <v>23</v>
      </c>
      <c r="F663" s="4">
        <v>1589</v>
      </c>
      <c r="G663" s="9" t="s">
        <v>1355</v>
      </c>
      <c r="H663" s="1">
        <v>45337</v>
      </c>
      <c r="I663" t="s">
        <v>30</v>
      </c>
      <c r="J663" t="s">
        <v>1356</v>
      </c>
      <c r="K663" t="s">
        <v>38</v>
      </c>
      <c r="L663" s="3">
        <f t="shared" si="20"/>
        <v>28963</v>
      </c>
      <c r="M663" s="3">
        <f t="shared" si="21"/>
        <v>18.227186910006292</v>
      </c>
    </row>
    <row r="664" spans="1:13" x14ac:dyDescent="0.35">
      <c r="A664" t="s">
        <v>53</v>
      </c>
      <c r="B664" t="s">
        <v>62</v>
      </c>
      <c r="C664" t="s">
        <v>77</v>
      </c>
      <c r="D664" t="s">
        <v>14</v>
      </c>
      <c r="E664" t="s">
        <v>23</v>
      </c>
      <c r="F664" s="4">
        <v>288</v>
      </c>
      <c r="G664" s="9" t="s">
        <v>1357</v>
      </c>
      <c r="H664" s="1">
        <v>45251</v>
      </c>
      <c r="I664" t="s">
        <v>30</v>
      </c>
      <c r="J664" t="s">
        <v>1358</v>
      </c>
      <c r="K664" t="s">
        <v>19</v>
      </c>
      <c r="L664" s="3">
        <f t="shared" si="20"/>
        <v>10918</v>
      </c>
      <c r="M664" s="3">
        <f t="shared" si="21"/>
        <v>37.909722222222221</v>
      </c>
    </row>
    <row r="665" spans="1:13" x14ac:dyDescent="0.35">
      <c r="A665" t="s">
        <v>39</v>
      </c>
      <c r="B665" t="s">
        <v>40</v>
      </c>
      <c r="C665" t="s">
        <v>27</v>
      </c>
      <c r="D665" t="s">
        <v>22</v>
      </c>
      <c r="E665" t="s">
        <v>15</v>
      </c>
      <c r="F665" s="4">
        <v>161</v>
      </c>
      <c r="G665" s="9" t="s">
        <v>1359</v>
      </c>
      <c r="H665" s="1">
        <v>45488</v>
      </c>
      <c r="I665" t="s">
        <v>17</v>
      </c>
      <c r="J665" t="s">
        <v>1360</v>
      </c>
      <c r="K665" t="s">
        <v>52</v>
      </c>
      <c r="L665" s="3">
        <f t="shared" si="20"/>
        <v>15335</v>
      </c>
      <c r="M665" s="3">
        <f t="shared" si="21"/>
        <v>95.24844720496894</v>
      </c>
    </row>
    <row r="666" spans="1:13" x14ac:dyDescent="0.35">
      <c r="A666" t="s">
        <v>26</v>
      </c>
      <c r="B666" t="s">
        <v>59</v>
      </c>
      <c r="C666" t="s">
        <v>21</v>
      </c>
      <c r="D666" t="s">
        <v>22</v>
      </c>
      <c r="E666" t="s">
        <v>15</v>
      </c>
      <c r="F666" s="4">
        <v>855</v>
      </c>
      <c r="G666" s="9" t="s">
        <v>1361</v>
      </c>
      <c r="H666" s="1">
        <v>45173</v>
      </c>
      <c r="I666" t="s">
        <v>17</v>
      </c>
      <c r="J666" t="s">
        <v>1362</v>
      </c>
      <c r="K666" t="s">
        <v>19</v>
      </c>
      <c r="L666" s="3">
        <f t="shared" si="20"/>
        <v>29393</v>
      </c>
      <c r="M666" s="3">
        <f t="shared" si="21"/>
        <v>34.37777777777778</v>
      </c>
    </row>
    <row r="667" spans="1:13" x14ac:dyDescent="0.35">
      <c r="A667" t="s">
        <v>26</v>
      </c>
      <c r="B667" t="s">
        <v>59</v>
      </c>
      <c r="C667" t="s">
        <v>77</v>
      </c>
      <c r="D667" t="s">
        <v>34</v>
      </c>
      <c r="E667" t="s">
        <v>43</v>
      </c>
      <c r="F667" s="4">
        <v>488</v>
      </c>
      <c r="G667" s="9" t="s">
        <v>1363</v>
      </c>
      <c r="H667" s="1">
        <v>45273</v>
      </c>
      <c r="I667" t="s">
        <v>45</v>
      </c>
      <c r="J667" t="s">
        <v>1364</v>
      </c>
      <c r="K667" t="s">
        <v>19</v>
      </c>
      <c r="L667" s="3">
        <f t="shared" si="20"/>
        <v>48696</v>
      </c>
      <c r="M667" s="3">
        <f t="shared" si="21"/>
        <v>99.786885245901644</v>
      </c>
    </row>
    <row r="668" spans="1:13" x14ac:dyDescent="0.35">
      <c r="A668" t="s">
        <v>39</v>
      </c>
      <c r="B668" t="s">
        <v>12</v>
      </c>
      <c r="C668" t="s">
        <v>21</v>
      </c>
      <c r="D668" t="s">
        <v>28</v>
      </c>
      <c r="E668" t="s">
        <v>23</v>
      </c>
      <c r="F668" s="4">
        <v>1119</v>
      </c>
      <c r="G668" s="9" t="s">
        <v>1365</v>
      </c>
      <c r="H668" s="1">
        <v>45343</v>
      </c>
      <c r="I668" t="s">
        <v>30</v>
      </c>
      <c r="J668" t="s">
        <v>1366</v>
      </c>
      <c r="K668" t="s">
        <v>32</v>
      </c>
      <c r="L668" s="3">
        <f t="shared" si="20"/>
        <v>17664</v>
      </c>
      <c r="M668" s="3">
        <f t="shared" si="21"/>
        <v>15.785522788203753</v>
      </c>
    </row>
    <row r="669" spans="1:13" x14ac:dyDescent="0.35">
      <c r="A669" t="s">
        <v>86</v>
      </c>
      <c r="B669" t="s">
        <v>40</v>
      </c>
      <c r="C669" t="s">
        <v>13</v>
      </c>
      <c r="D669" t="s">
        <v>89</v>
      </c>
      <c r="E669">
        <v>30</v>
      </c>
      <c r="F669" s="4">
        <v>105</v>
      </c>
      <c r="G669" s="9" t="s">
        <v>1367</v>
      </c>
      <c r="H669" s="1">
        <v>45197</v>
      </c>
      <c r="I669" t="s">
        <v>36</v>
      </c>
      <c r="J669" t="s">
        <v>1368</v>
      </c>
      <c r="K669" t="s">
        <v>19</v>
      </c>
      <c r="L669" s="3">
        <f t="shared" si="20"/>
        <v>10114</v>
      </c>
      <c r="M669" s="3">
        <f t="shared" si="21"/>
        <v>96.32380952380953</v>
      </c>
    </row>
    <row r="670" spans="1:13" x14ac:dyDescent="0.35">
      <c r="A670" t="s">
        <v>86</v>
      </c>
      <c r="B670" t="s">
        <v>20</v>
      </c>
      <c r="C670" t="s">
        <v>33</v>
      </c>
      <c r="D670" t="s">
        <v>14</v>
      </c>
      <c r="E670" t="s">
        <v>23</v>
      </c>
      <c r="F670" s="4">
        <v>1425</v>
      </c>
      <c r="G670" s="9" t="s">
        <v>1369</v>
      </c>
      <c r="H670" s="1">
        <v>45252</v>
      </c>
      <c r="I670" t="s">
        <v>30</v>
      </c>
      <c r="J670" t="s">
        <v>1370</v>
      </c>
      <c r="K670" t="s">
        <v>38</v>
      </c>
      <c r="L670" s="3">
        <f t="shared" si="20"/>
        <v>49691</v>
      </c>
      <c r="M670" s="3">
        <f t="shared" si="21"/>
        <v>34.870877192982455</v>
      </c>
    </row>
    <row r="671" spans="1:13" x14ac:dyDescent="0.35">
      <c r="A671" t="s">
        <v>11</v>
      </c>
      <c r="B671" t="s">
        <v>59</v>
      </c>
      <c r="C671" t="s">
        <v>77</v>
      </c>
      <c r="D671" t="s">
        <v>14</v>
      </c>
      <c r="E671" t="s">
        <v>43</v>
      </c>
      <c r="F671" s="4">
        <v>908</v>
      </c>
      <c r="G671" s="9" t="s">
        <v>1371</v>
      </c>
      <c r="H671" s="1">
        <v>45362</v>
      </c>
      <c r="I671" t="s">
        <v>45</v>
      </c>
      <c r="J671" t="s">
        <v>1372</v>
      </c>
      <c r="K671" t="s">
        <v>32</v>
      </c>
      <c r="L671" s="3">
        <f t="shared" si="20"/>
        <v>12202</v>
      </c>
      <c r="M671" s="3">
        <f t="shared" si="21"/>
        <v>13.438325991189428</v>
      </c>
    </row>
    <row r="672" spans="1:13" x14ac:dyDescent="0.35">
      <c r="A672" t="s">
        <v>39</v>
      </c>
      <c r="B672" t="s">
        <v>59</v>
      </c>
      <c r="C672" t="s">
        <v>21</v>
      </c>
      <c r="D672" t="s">
        <v>89</v>
      </c>
      <c r="E672">
        <v>30</v>
      </c>
      <c r="F672" s="4">
        <v>1479</v>
      </c>
      <c r="G672" s="9" t="s">
        <v>1373</v>
      </c>
      <c r="H672" s="1">
        <v>45441</v>
      </c>
      <c r="I672" t="s">
        <v>30</v>
      </c>
      <c r="J672" t="s">
        <v>1374</v>
      </c>
      <c r="K672" t="s">
        <v>38</v>
      </c>
      <c r="L672" s="3">
        <f t="shared" si="20"/>
        <v>39296</v>
      </c>
      <c r="M672" s="3">
        <f t="shared" si="21"/>
        <v>26.569303583502368</v>
      </c>
    </row>
    <row r="673" spans="1:13" x14ac:dyDescent="0.35">
      <c r="A673" t="s">
        <v>86</v>
      </c>
      <c r="B673" t="s">
        <v>59</v>
      </c>
      <c r="C673" t="s">
        <v>33</v>
      </c>
      <c r="D673" t="s">
        <v>34</v>
      </c>
      <c r="E673">
        <v>30</v>
      </c>
      <c r="F673" s="4">
        <v>1271</v>
      </c>
      <c r="G673" s="9" t="s">
        <v>1375</v>
      </c>
      <c r="H673" s="1">
        <v>45233</v>
      </c>
      <c r="I673" t="s">
        <v>30</v>
      </c>
      <c r="J673" t="s">
        <v>1376</v>
      </c>
      <c r="K673" t="s">
        <v>19</v>
      </c>
      <c r="L673" s="3">
        <f t="shared" si="20"/>
        <v>24977</v>
      </c>
      <c r="M673" s="3">
        <f t="shared" si="21"/>
        <v>19.651455546813533</v>
      </c>
    </row>
    <row r="674" spans="1:13" x14ac:dyDescent="0.35">
      <c r="A674" t="s">
        <v>11</v>
      </c>
      <c r="B674" t="s">
        <v>59</v>
      </c>
      <c r="C674" t="s">
        <v>27</v>
      </c>
      <c r="D674" t="s">
        <v>28</v>
      </c>
      <c r="E674">
        <v>60</v>
      </c>
      <c r="F674" s="4">
        <v>255</v>
      </c>
      <c r="G674" s="9" t="s">
        <v>1377</v>
      </c>
      <c r="H674" s="1">
        <v>45499</v>
      </c>
      <c r="I674" t="s">
        <v>45</v>
      </c>
      <c r="J674" t="s">
        <v>1378</v>
      </c>
      <c r="K674" t="s">
        <v>32</v>
      </c>
      <c r="L674" s="3">
        <f t="shared" si="20"/>
        <v>3422</v>
      </c>
      <c r="M674" s="3">
        <f t="shared" si="21"/>
        <v>13.419607843137255</v>
      </c>
    </row>
    <row r="675" spans="1:13" x14ac:dyDescent="0.35">
      <c r="A675" t="s">
        <v>11</v>
      </c>
      <c r="B675" t="s">
        <v>62</v>
      </c>
      <c r="C675" t="s">
        <v>33</v>
      </c>
      <c r="D675" t="s">
        <v>28</v>
      </c>
      <c r="E675" t="s">
        <v>23</v>
      </c>
      <c r="F675" s="4">
        <v>1258</v>
      </c>
      <c r="G675" s="9" t="s">
        <v>1379</v>
      </c>
      <c r="H675" s="1">
        <v>45315</v>
      </c>
      <c r="I675" t="s">
        <v>48</v>
      </c>
      <c r="J675" t="s">
        <v>1380</v>
      </c>
      <c r="K675" t="s">
        <v>19</v>
      </c>
      <c r="L675" s="3">
        <f t="shared" si="20"/>
        <v>40096</v>
      </c>
      <c r="M675" s="3">
        <f t="shared" si="21"/>
        <v>31.872813990461051</v>
      </c>
    </row>
    <row r="676" spans="1:13" x14ac:dyDescent="0.35">
      <c r="A676" t="s">
        <v>11</v>
      </c>
      <c r="B676" t="s">
        <v>62</v>
      </c>
      <c r="C676" t="s">
        <v>27</v>
      </c>
      <c r="D676" t="s">
        <v>22</v>
      </c>
      <c r="E676" t="s">
        <v>23</v>
      </c>
      <c r="F676" s="4">
        <v>1633</v>
      </c>
      <c r="G676" s="9" t="s">
        <v>1381</v>
      </c>
      <c r="H676" s="1">
        <v>45140</v>
      </c>
      <c r="I676" t="s">
        <v>17</v>
      </c>
      <c r="J676" t="s">
        <v>1382</v>
      </c>
      <c r="K676" t="s">
        <v>56</v>
      </c>
      <c r="L676" s="3">
        <f t="shared" si="20"/>
        <v>49748</v>
      </c>
      <c r="M676" s="3">
        <f t="shared" si="21"/>
        <v>30.464176362522963</v>
      </c>
    </row>
    <row r="677" spans="1:13" x14ac:dyDescent="0.35">
      <c r="A677" t="s">
        <v>53</v>
      </c>
      <c r="B677" t="s">
        <v>62</v>
      </c>
      <c r="C677" t="s">
        <v>21</v>
      </c>
      <c r="D677" t="s">
        <v>34</v>
      </c>
      <c r="E677" t="s">
        <v>23</v>
      </c>
      <c r="F677" s="4">
        <v>115</v>
      </c>
      <c r="G677" s="9" t="s">
        <v>1383</v>
      </c>
      <c r="H677" s="1">
        <v>45470</v>
      </c>
      <c r="I677" t="s">
        <v>17</v>
      </c>
      <c r="J677" t="s">
        <v>1384</v>
      </c>
      <c r="K677" t="s">
        <v>19</v>
      </c>
      <c r="L677" s="3">
        <f t="shared" si="20"/>
        <v>42746</v>
      </c>
      <c r="M677" s="3">
        <f t="shared" si="21"/>
        <v>371.70434782608697</v>
      </c>
    </row>
    <row r="678" spans="1:13" x14ac:dyDescent="0.35">
      <c r="A678" t="s">
        <v>26</v>
      </c>
      <c r="B678" t="s">
        <v>62</v>
      </c>
      <c r="C678" t="s">
        <v>33</v>
      </c>
      <c r="D678" t="s">
        <v>22</v>
      </c>
      <c r="E678">
        <v>30</v>
      </c>
      <c r="F678" s="4">
        <v>1666</v>
      </c>
      <c r="G678" s="9" t="s">
        <v>1385</v>
      </c>
      <c r="H678" s="1">
        <v>45296</v>
      </c>
      <c r="I678" t="s">
        <v>17</v>
      </c>
      <c r="J678" t="s">
        <v>1386</v>
      </c>
      <c r="K678" t="s">
        <v>38</v>
      </c>
      <c r="L678" s="3">
        <f t="shared" si="20"/>
        <v>31902</v>
      </c>
      <c r="M678" s="3">
        <f t="shared" si="21"/>
        <v>19.148859543817526</v>
      </c>
    </row>
    <row r="679" spans="1:13" x14ac:dyDescent="0.35">
      <c r="A679" t="s">
        <v>26</v>
      </c>
      <c r="B679" t="s">
        <v>59</v>
      </c>
      <c r="C679" t="s">
        <v>33</v>
      </c>
      <c r="D679" t="s">
        <v>34</v>
      </c>
      <c r="E679" t="s">
        <v>23</v>
      </c>
      <c r="F679" s="4">
        <v>1141</v>
      </c>
      <c r="G679" s="9" t="s">
        <v>1387</v>
      </c>
      <c r="H679" s="1">
        <v>45410</v>
      </c>
      <c r="I679" t="s">
        <v>30</v>
      </c>
      <c r="J679" t="s">
        <v>1388</v>
      </c>
      <c r="K679" t="s">
        <v>32</v>
      </c>
      <c r="L679" s="3">
        <f t="shared" si="20"/>
        <v>14925</v>
      </c>
      <c r="M679" s="3">
        <f t="shared" si="21"/>
        <v>13.080631025416302</v>
      </c>
    </row>
    <row r="680" spans="1:13" x14ac:dyDescent="0.35">
      <c r="A680" t="s">
        <v>53</v>
      </c>
      <c r="B680" t="s">
        <v>20</v>
      </c>
      <c r="C680" t="s">
        <v>27</v>
      </c>
      <c r="D680" t="s">
        <v>22</v>
      </c>
      <c r="E680" t="s">
        <v>15</v>
      </c>
      <c r="F680" s="4">
        <v>684</v>
      </c>
      <c r="G680" s="9" t="s">
        <v>1389</v>
      </c>
      <c r="H680" s="1">
        <v>45348</v>
      </c>
      <c r="I680" t="s">
        <v>45</v>
      </c>
      <c r="J680" t="s">
        <v>1390</v>
      </c>
      <c r="K680" t="s">
        <v>52</v>
      </c>
      <c r="L680" s="3">
        <f t="shared" si="20"/>
        <v>49285</v>
      </c>
      <c r="M680" s="3">
        <f t="shared" si="21"/>
        <v>72.054093567251456</v>
      </c>
    </row>
    <row r="681" spans="1:13" x14ac:dyDescent="0.35">
      <c r="A681" t="s">
        <v>39</v>
      </c>
      <c r="B681" t="s">
        <v>12</v>
      </c>
      <c r="C681" t="s">
        <v>13</v>
      </c>
      <c r="D681" t="s">
        <v>14</v>
      </c>
      <c r="E681" t="s">
        <v>23</v>
      </c>
      <c r="F681" s="4">
        <v>125</v>
      </c>
      <c r="G681" s="9" t="s">
        <v>1391</v>
      </c>
      <c r="H681" s="1">
        <v>45163</v>
      </c>
      <c r="I681" t="s">
        <v>36</v>
      </c>
      <c r="J681" t="s">
        <v>1392</v>
      </c>
      <c r="K681" t="s">
        <v>32</v>
      </c>
      <c r="L681" s="3">
        <f t="shared" si="20"/>
        <v>27122</v>
      </c>
      <c r="M681" s="3">
        <f t="shared" si="21"/>
        <v>216.976</v>
      </c>
    </row>
    <row r="682" spans="1:13" x14ac:dyDescent="0.35">
      <c r="A682" t="s">
        <v>11</v>
      </c>
      <c r="B682" t="s">
        <v>59</v>
      </c>
      <c r="C682" t="s">
        <v>77</v>
      </c>
      <c r="D682" t="s">
        <v>34</v>
      </c>
      <c r="E682" t="s">
        <v>23</v>
      </c>
      <c r="F682" s="4">
        <v>1257</v>
      </c>
      <c r="G682" s="9" t="s">
        <v>1393</v>
      </c>
      <c r="H682" s="1">
        <v>45335</v>
      </c>
      <c r="I682" t="s">
        <v>17</v>
      </c>
      <c r="J682" t="s">
        <v>1394</v>
      </c>
      <c r="K682" t="s">
        <v>52</v>
      </c>
      <c r="L682" s="3">
        <f t="shared" si="20"/>
        <v>9065</v>
      </c>
      <c r="M682" s="3">
        <f t="shared" si="21"/>
        <v>7.211614956245028</v>
      </c>
    </row>
    <row r="683" spans="1:13" x14ac:dyDescent="0.35">
      <c r="A683" t="s">
        <v>53</v>
      </c>
      <c r="B683" t="s">
        <v>12</v>
      </c>
      <c r="C683" t="s">
        <v>77</v>
      </c>
      <c r="D683" t="s">
        <v>89</v>
      </c>
      <c r="E683" t="s">
        <v>43</v>
      </c>
      <c r="F683" s="4">
        <v>512</v>
      </c>
      <c r="G683" s="9" t="s">
        <v>1395</v>
      </c>
      <c r="H683" s="1">
        <v>45259</v>
      </c>
      <c r="I683" t="s">
        <v>30</v>
      </c>
      <c r="J683" t="s">
        <v>1396</v>
      </c>
      <c r="K683" t="s">
        <v>32</v>
      </c>
      <c r="L683" s="3">
        <f t="shared" si="20"/>
        <v>38483</v>
      </c>
      <c r="M683" s="3">
        <f t="shared" si="21"/>
        <v>75.162109375</v>
      </c>
    </row>
    <row r="684" spans="1:13" x14ac:dyDescent="0.35">
      <c r="A684" t="s">
        <v>11</v>
      </c>
      <c r="B684" t="s">
        <v>62</v>
      </c>
      <c r="C684" t="s">
        <v>13</v>
      </c>
      <c r="D684" t="s">
        <v>22</v>
      </c>
      <c r="E684">
        <v>60</v>
      </c>
      <c r="F684" s="4">
        <v>1978</v>
      </c>
      <c r="G684" s="9" t="s">
        <v>1397</v>
      </c>
      <c r="H684" s="1">
        <v>45285</v>
      </c>
      <c r="I684" t="s">
        <v>48</v>
      </c>
      <c r="J684" t="s">
        <v>1398</v>
      </c>
      <c r="K684" t="s">
        <v>56</v>
      </c>
      <c r="L684" s="3">
        <f t="shared" si="20"/>
        <v>35271</v>
      </c>
      <c r="M684" s="3">
        <f t="shared" si="21"/>
        <v>17.831648129423659</v>
      </c>
    </row>
    <row r="685" spans="1:13" x14ac:dyDescent="0.35">
      <c r="A685" t="s">
        <v>11</v>
      </c>
      <c r="B685" t="s">
        <v>62</v>
      </c>
      <c r="C685" t="s">
        <v>77</v>
      </c>
      <c r="D685" t="s">
        <v>28</v>
      </c>
      <c r="E685" t="s">
        <v>43</v>
      </c>
      <c r="F685" s="4">
        <v>452</v>
      </c>
      <c r="G685" s="9" t="s">
        <v>1399</v>
      </c>
      <c r="H685" s="1">
        <v>45231</v>
      </c>
      <c r="I685" t="s">
        <v>45</v>
      </c>
      <c r="J685" t="s">
        <v>1400</v>
      </c>
      <c r="K685" t="s">
        <v>38</v>
      </c>
      <c r="L685" s="3">
        <f t="shared" si="20"/>
        <v>27833</v>
      </c>
      <c r="M685" s="3">
        <f t="shared" si="21"/>
        <v>61.577433628318587</v>
      </c>
    </row>
    <row r="686" spans="1:13" x14ac:dyDescent="0.35">
      <c r="A686" t="s">
        <v>39</v>
      </c>
      <c r="B686" t="s">
        <v>59</v>
      </c>
      <c r="C686" t="s">
        <v>21</v>
      </c>
      <c r="D686" t="s">
        <v>28</v>
      </c>
      <c r="E686" t="s">
        <v>23</v>
      </c>
      <c r="F686" s="4">
        <v>1464</v>
      </c>
      <c r="G686" s="9" t="s">
        <v>1401</v>
      </c>
      <c r="H686" s="1">
        <v>45203</v>
      </c>
      <c r="I686" t="s">
        <v>48</v>
      </c>
      <c r="J686" t="s">
        <v>1402</v>
      </c>
      <c r="K686" t="s">
        <v>32</v>
      </c>
      <c r="L686" s="3">
        <f t="shared" si="20"/>
        <v>13450</v>
      </c>
      <c r="M686" s="3">
        <f t="shared" si="21"/>
        <v>9.1871584699453557</v>
      </c>
    </row>
    <row r="687" spans="1:13" x14ac:dyDescent="0.35">
      <c r="A687" t="s">
        <v>26</v>
      </c>
      <c r="B687" t="s">
        <v>40</v>
      </c>
      <c r="C687" t="s">
        <v>21</v>
      </c>
      <c r="D687" t="s">
        <v>14</v>
      </c>
      <c r="E687">
        <v>60</v>
      </c>
      <c r="F687" s="4">
        <v>1259</v>
      </c>
      <c r="G687" s="9" t="s">
        <v>1403</v>
      </c>
      <c r="H687" s="1">
        <v>45220</v>
      </c>
      <c r="I687" t="s">
        <v>48</v>
      </c>
      <c r="J687" t="s">
        <v>1404</v>
      </c>
      <c r="K687" t="s">
        <v>52</v>
      </c>
      <c r="L687" s="3">
        <f t="shared" si="20"/>
        <v>34258</v>
      </c>
      <c r="M687" s="3">
        <f t="shared" si="21"/>
        <v>27.210484511517077</v>
      </c>
    </row>
    <row r="688" spans="1:13" x14ac:dyDescent="0.35">
      <c r="A688" t="s">
        <v>11</v>
      </c>
      <c r="B688" t="s">
        <v>62</v>
      </c>
      <c r="C688" t="s">
        <v>33</v>
      </c>
      <c r="D688" t="s">
        <v>28</v>
      </c>
      <c r="E688" t="s">
        <v>43</v>
      </c>
      <c r="F688" s="4">
        <v>997</v>
      </c>
      <c r="G688" s="9" t="s">
        <v>1405</v>
      </c>
      <c r="H688" s="1">
        <v>45490</v>
      </c>
      <c r="I688" t="s">
        <v>48</v>
      </c>
      <c r="J688" t="s">
        <v>1406</v>
      </c>
      <c r="K688" t="s">
        <v>56</v>
      </c>
      <c r="L688" s="3">
        <f t="shared" si="20"/>
        <v>6288</v>
      </c>
      <c r="M688" s="3">
        <f t="shared" si="21"/>
        <v>6.3069207622868602</v>
      </c>
    </row>
    <row r="689" spans="1:13" x14ac:dyDescent="0.35">
      <c r="A689" t="s">
        <v>53</v>
      </c>
      <c r="B689" t="s">
        <v>40</v>
      </c>
      <c r="C689" t="s">
        <v>21</v>
      </c>
      <c r="D689" t="s">
        <v>28</v>
      </c>
      <c r="E689">
        <v>60</v>
      </c>
      <c r="F689" s="4">
        <v>324</v>
      </c>
      <c r="G689" s="9" t="s">
        <v>1407</v>
      </c>
      <c r="H689" s="1">
        <v>45225</v>
      </c>
      <c r="I689" t="s">
        <v>45</v>
      </c>
      <c r="J689" t="s">
        <v>1408</v>
      </c>
      <c r="K689" t="s">
        <v>38</v>
      </c>
      <c r="L689" s="3">
        <f t="shared" si="20"/>
        <v>16995</v>
      </c>
      <c r="M689" s="3">
        <f t="shared" si="21"/>
        <v>52.453703703703702</v>
      </c>
    </row>
    <row r="690" spans="1:13" x14ac:dyDescent="0.35">
      <c r="A690" t="s">
        <v>53</v>
      </c>
      <c r="B690" t="s">
        <v>20</v>
      </c>
      <c r="C690" t="s">
        <v>77</v>
      </c>
      <c r="D690" t="s">
        <v>34</v>
      </c>
      <c r="E690" t="s">
        <v>23</v>
      </c>
      <c r="F690" s="4">
        <v>153</v>
      </c>
      <c r="G690" s="9" t="s">
        <v>1409</v>
      </c>
      <c r="H690" s="1">
        <v>45443</v>
      </c>
      <c r="I690" t="s">
        <v>45</v>
      </c>
      <c r="J690" t="s">
        <v>1410</v>
      </c>
      <c r="K690" t="s">
        <v>19</v>
      </c>
      <c r="L690" s="3">
        <f t="shared" si="20"/>
        <v>48959</v>
      </c>
      <c r="M690" s="3">
        <f t="shared" si="21"/>
        <v>319.99346405228761</v>
      </c>
    </row>
    <row r="691" spans="1:13" x14ac:dyDescent="0.35">
      <c r="A691" t="s">
        <v>26</v>
      </c>
      <c r="B691" t="s">
        <v>59</v>
      </c>
      <c r="C691" t="s">
        <v>21</v>
      </c>
      <c r="D691" t="s">
        <v>34</v>
      </c>
      <c r="E691" t="s">
        <v>15</v>
      </c>
      <c r="F691" s="4">
        <v>1927</v>
      </c>
      <c r="G691" s="9" t="s">
        <v>1411</v>
      </c>
      <c r="H691" s="1">
        <v>45147</v>
      </c>
      <c r="I691" t="s">
        <v>30</v>
      </c>
      <c r="J691" t="s">
        <v>1412</v>
      </c>
      <c r="K691" t="s">
        <v>32</v>
      </c>
      <c r="L691" s="3">
        <f t="shared" si="20"/>
        <v>36009</v>
      </c>
      <c r="M691" s="3">
        <f t="shared" si="21"/>
        <v>18.686559418785677</v>
      </c>
    </row>
    <row r="692" spans="1:13" x14ac:dyDescent="0.35">
      <c r="A692" t="s">
        <v>11</v>
      </c>
      <c r="B692" t="s">
        <v>20</v>
      </c>
      <c r="C692" t="s">
        <v>21</v>
      </c>
      <c r="D692" t="s">
        <v>14</v>
      </c>
      <c r="E692">
        <v>60</v>
      </c>
      <c r="F692" s="4">
        <v>463</v>
      </c>
      <c r="G692" s="9" t="s">
        <v>1413</v>
      </c>
      <c r="H692" s="1">
        <v>45137</v>
      </c>
      <c r="I692" t="s">
        <v>30</v>
      </c>
      <c r="J692" t="s">
        <v>1414</v>
      </c>
      <c r="K692" t="s">
        <v>19</v>
      </c>
      <c r="L692" s="3">
        <f t="shared" si="20"/>
        <v>7692</v>
      </c>
      <c r="M692" s="3">
        <f t="shared" si="21"/>
        <v>16.613390928725703</v>
      </c>
    </row>
    <row r="693" spans="1:13" x14ac:dyDescent="0.35">
      <c r="A693" t="s">
        <v>11</v>
      </c>
      <c r="B693" t="s">
        <v>40</v>
      </c>
      <c r="C693" t="s">
        <v>27</v>
      </c>
      <c r="D693" t="s">
        <v>34</v>
      </c>
      <c r="E693">
        <v>30</v>
      </c>
      <c r="F693" s="4">
        <v>1767</v>
      </c>
      <c r="G693" s="9" t="s">
        <v>1415</v>
      </c>
      <c r="H693" s="1">
        <v>45319</v>
      </c>
      <c r="I693" t="s">
        <v>45</v>
      </c>
      <c r="J693" t="s">
        <v>1416</v>
      </c>
      <c r="K693" t="s">
        <v>19</v>
      </c>
      <c r="L693" s="3">
        <f t="shared" si="20"/>
        <v>37875</v>
      </c>
      <c r="M693" s="3">
        <f t="shared" si="21"/>
        <v>21.434634974533108</v>
      </c>
    </row>
    <row r="694" spans="1:13" x14ac:dyDescent="0.35">
      <c r="A694" t="s">
        <v>86</v>
      </c>
      <c r="B694" t="s">
        <v>12</v>
      </c>
      <c r="C694" t="s">
        <v>33</v>
      </c>
      <c r="D694" t="s">
        <v>89</v>
      </c>
      <c r="E694" t="s">
        <v>23</v>
      </c>
      <c r="F694" s="4">
        <v>1906</v>
      </c>
      <c r="G694" s="9" t="s">
        <v>1417</v>
      </c>
      <c r="H694" s="1">
        <v>45142</v>
      </c>
      <c r="I694" t="s">
        <v>36</v>
      </c>
      <c r="J694" t="s">
        <v>1418</v>
      </c>
      <c r="K694" t="s">
        <v>38</v>
      </c>
      <c r="L694" s="3">
        <f t="shared" si="20"/>
        <v>37464</v>
      </c>
      <c r="M694" s="3">
        <f t="shared" si="21"/>
        <v>19.655823714585519</v>
      </c>
    </row>
    <row r="695" spans="1:13" x14ac:dyDescent="0.35">
      <c r="A695" t="s">
        <v>39</v>
      </c>
      <c r="B695" t="s">
        <v>20</v>
      </c>
      <c r="C695" t="s">
        <v>13</v>
      </c>
      <c r="D695" t="s">
        <v>14</v>
      </c>
      <c r="E695">
        <v>30</v>
      </c>
      <c r="F695" s="4">
        <v>1155</v>
      </c>
      <c r="G695" s="9" t="s">
        <v>1419</v>
      </c>
      <c r="H695" s="1">
        <v>45188</v>
      </c>
      <c r="I695" t="s">
        <v>30</v>
      </c>
      <c r="J695" t="s">
        <v>1420</v>
      </c>
      <c r="K695" t="s">
        <v>52</v>
      </c>
      <c r="L695" s="3">
        <f t="shared" si="20"/>
        <v>27188</v>
      </c>
      <c r="M695" s="3">
        <f t="shared" si="21"/>
        <v>23.539393939393939</v>
      </c>
    </row>
    <row r="696" spans="1:13" x14ac:dyDescent="0.35">
      <c r="A696" t="s">
        <v>11</v>
      </c>
      <c r="B696" t="s">
        <v>20</v>
      </c>
      <c r="C696" t="s">
        <v>27</v>
      </c>
      <c r="D696" t="s">
        <v>28</v>
      </c>
      <c r="E696" t="s">
        <v>23</v>
      </c>
      <c r="F696" s="4">
        <v>752</v>
      </c>
      <c r="G696" s="9" t="s">
        <v>1421</v>
      </c>
      <c r="H696" s="1">
        <v>45413</v>
      </c>
      <c r="I696" t="s">
        <v>48</v>
      </c>
      <c r="J696" t="s">
        <v>1422</v>
      </c>
      <c r="K696" t="s">
        <v>52</v>
      </c>
      <c r="L696" s="3">
        <f t="shared" si="20"/>
        <v>2969</v>
      </c>
      <c r="M696" s="3">
        <f t="shared" si="21"/>
        <v>3.9481382978723403</v>
      </c>
    </row>
    <row r="697" spans="1:13" x14ac:dyDescent="0.35">
      <c r="A697" t="s">
        <v>53</v>
      </c>
      <c r="B697" t="s">
        <v>12</v>
      </c>
      <c r="C697" t="s">
        <v>33</v>
      </c>
      <c r="D697" t="s">
        <v>34</v>
      </c>
      <c r="E697">
        <v>30</v>
      </c>
      <c r="F697" s="4">
        <v>1723</v>
      </c>
      <c r="G697" s="9" t="s">
        <v>1423</v>
      </c>
      <c r="H697" s="1">
        <v>45155</v>
      </c>
      <c r="I697" t="s">
        <v>30</v>
      </c>
      <c r="J697" t="s">
        <v>1424</v>
      </c>
      <c r="K697" t="s">
        <v>32</v>
      </c>
      <c r="L697" s="3">
        <f t="shared" si="20"/>
        <v>43091</v>
      </c>
      <c r="M697" s="3">
        <f t="shared" si="21"/>
        <v>25.009286128845037</v>
      </c>
    </row>
    <row r="698" spans="1:13" x14ac:dyDescent="0.35">
      <c r="A698" t="s">
        <v>39</v>
      </c>
      <c r="B698" t="s">
        <v>62</v>
      </c>
      <c r="C698" t="s">
        <v>27</v>
      </c>
      <c r="D698" t="s">
        <v>14</v>
      </c>
      <c r="E698">
        <v>60</v>
      </c>
      <c r="F698" s="4">
        <v>1337</v>
      </c>
      <c r="G698" s="9" t="s">
        <v>1425</v>
      </c>
      <c r="H698" s="1">
        <v>45143</v>
      </c>
      <c r="I698" t="s">
        <v>30</v>
      </c>
      <c r="J698" t="s">
        <v>1426</v>
      </c>
      <c r="K698" t="s">
        <v>19</v>
      </c>
      <c r="L698" s="3">
        <f t="shared" si="20"/>
        <v>22675</v>
      </c>
      <c r="M698" s="3">
        <f t="shared" si="21"/>
        <v>16.959611069558715</v>
      </c>
    </row>
    <row r="699" spans="1:13" x14ac:dyDescent="0.35">
      <c r="A699" t="s">
        <v>86</v>
      </c>
      <c r="B699" t="s">
        <v>59</v>
      </c>
      <c r="C699" t="s">
        <v>27</v>
      </c>
      <c r="D699" t="s">
        <v>28</v>
      </c>
      <c r="E699">
        <v>60</v>
      </c>
      <c r="F699" s="4">
        <v>1430</v>
      </c>
      <c r="G699" s="9" t="s">
        <v>1427</v>
      </c>
      <c r="H699" s="1">
        <v>45144</v>
      </c>
      <c r="I699" t="s">
        <v>17</v>
      </c>
      <c r="J699" t="s">
        <v>1428</v>
      </c>
      <c r="K699" t="s">
        <v>56</v>
      </c>
      <c r="L699" s="3">
        <f t="shared" si="20"/>
        <v>41328</v>
      </c>
      <c r="M699" s="3">
        <f t="shared" si="21"/>
        <v>28.900699300699301</v>
      </c>
    </row>
    <row r="700" spans="1:13" x14ac:dyDescent="0.35">
      <c r="A700" t="s">
        <v>53</v>
      </c>
      <c r="B700" t="s">
        <v>59</v>
      </c>
      <c r="C700" t="s">
        <v>27</v>
      </c>
      <c r="D700" t="s">
        <v>28</v>
      </c>
      <c r="E700" t="s">
        <v>23</v>
      </c>
      <c r="F700" s="4">
        <v>1184</v>
      </c>
      <c r="G700" s="9" t="s">
        <v>1429</v>
      </c>
      <c r="H700" s="1">
        <v>45411</v>
      </c>
      <c r="I700" t="s">
        <v>17</v>
      </c>
      <c r="J700" t="s">
        <v>1430</v>
      </c>
      <c r="K700" t="s">
        <v>19</v>
      </c>
      <c r="L700" s="3">
        <f t="shared" si="20"/>
        <v>27895</v>
      </c>
      <c r="M700" s="3">
        <f t="shared" si="21"/>
        <v>23.559966216216218</v>
      </c>
    </row>
    <row r="701" spans="1:13" x14ac:dyDescent="0.35">
      <c r="A701" t="s">
        <v>26</v>
      </c>
      <c r="B701" t="s">
        <v>59</v>
      </c>
      <c r="C701" t="s">
        <v>77</v>
      </c>
      <c r="D701" t="s">
        <v>34</v>
      </c>
      <c r="E701">
        <v>30</v>
      </c>
      <c r="F701" s="4">
        <v>506</v>
      </c>
      <c r="G701" s="9" t="s">
        <v>1431</v>
      </c>
      <c r="H701" s="1">
        <v>45463</v>
      </c>
      <c r="I701" t="s">
        <v>36</v>
      </c>
      <c r="J701" t="s">
        <v>1432</v>
      </c>
      <c r="K701" t="s">
        <v>38</v>
      </c>
      <c r="L701" s="3">
        <f t="shared" si="20"/>
        <v>17762</v>
      </c>
      <c r="M701" s="3">
        <f t="shared" si="21"/>
        <v>35.102766798418969</v>
      </c>
    </row>
    <row r="702" spans="1:13" x14ac:dyDescent="0.35">
      <c r="A702" t="s">
        <v>86</v>
      </c>
      <c r="B702" t="s">
        <v>62</v>
      </c>
      <c r="C702" t="s">
        <v>27</v>
      </c>
      <c r="D702" t="s">
        <v>22</v>
      </c>
      <c r="E702" t="s">
        <v>43</v>
      </c>
      <c r="F702" s="4">
        <v>1085</v>
      </c>
      <c r="G702" s="9" t="s">
        <v>1433</v>
      </c>
      <c r="H702" s="1">
        <v>45356</v>
      </c>
      <c r="I702" t="s">
        <v>30</v>
      </c>
      <c r="J702" t="s">
        <v>1434</v>
      </c>
      <c r="K702" t="s">
        <v>38</v>
      </c>
      <c r="L702" s="3">
        <f t="shared" si="20"/>
        <v>1367</v>
      </c>
      <c r="M702" s="3">
        <f t="shared" si="21"/>
        <v>1.2599078341013825</v>
      </c>
    </row>
    <row r="703" spans="1:13" x14ac:dyDescent="0.35">
      <c r="A703" t="s">
        <v>39</v>
      </c>
      <c r="B703" t="s">
        <v>40</v>
      </c>
      <c r="C703" t="s">
        <v>33</v>
      </c>
      <c r="D703" t="s">
        <v>28</v>
      </c>
      <c r="E703" t="s">
        <v>43</v>
      </c>
      <c r="F703" s="4">
        <v>1151</v>
      </c>
      <c r="G703" s="9" t="s">
        <v>1435</v>
      </c>
      <c r="H703" s="1">
        <v>45379</v>
      </c>
      <c r="I703" t="s">
        <v>45</v>
      </c>
      <c r="J703" t="s">
        <v>1436</v>
      </c>
      <c r="K703" t="s">
        <v>32</v>
      </c>
      <c r="L703" s="3">
        <f t="shared" si="20"/>
        <v>23237</v>
      </c>
      <c r="M703" s="3">
        <f t="shared" si="21"/>
        <v>20.188531711555168</v>
      </c>
    </row>
    <row r="704" spans="1:13" x14ac:dyDescent="0.35">
      <c r="A704" t="s">
        <v>39</v>
      </c>
      <c r="B704" t="s">
        <v>62</v>
      </c>
      <c r="C704" t="s">
        <v>27</v>
      </c>
      <c r="D704" t="s">
        <v>89</v>
      </c>
      <c r="E704" t="s">
        <v>23</v>
      </c>
      <c r="F704" s="4">
        <v>157</v>
      </c>
      <c r="G704" s="9" t="s">
        <v>1437</v>
      </c>
      <c r="H704" s="1">
        <v>45388</v>
      </c>
      <c r="I704" t="s">
        <v>48</v>
      </c>
      <c r="J704" t="s">
        <v>1438</v>
      </c>
      <c r="K704" t="s">
        <v>19</v>
      </c>
      <c r="L704" s="3">
        <f t="shared" si="20"/>
        <v>17373</v>
      </c>
      <c r="M704" s="3">
        <f t="shared" si="21"/>
        <v>110.65605095541402</v>
      </c>
    </row>
    <row r="705" spans="1:13" x14ac:dyDescent="0.35">
      <c r="A705" t="s">
        <v>86</v>
      </c>
      <c r="B705" t="s">
        <v>12</v>
      </c>
      <c r="C705" t="s">
        <v>33</v>
      </c>
      <c r="D705" t="s">
        <v>22</v>
      </c>
      <c r="E705" t="s">
        <v>43</v>
      </c>
      <c r="F705" s="4">
        <v>1665</v>
      </c>
      <c r="G705" s="9" t="s">
        <v>1439</v>
      </c>
      <c r="H705" s="1">
        <v>45167</v>
      </c>
      <c r="I705" t="s">
        <v>48</v>
      </c>
      <c r="J705" t="s">
        <v>1440</v>
      </c>
      <c r="K705" t="s">
        <v>52</v>
      </c>
      <c r="L705" s="3">
        <f t="shared" si="20"/>
        <v>49986</v>
      </c>
      <c r="M705" s="3">
        <f t="shared" si="21"/>
        <v>30.021621621621623</v>
      </c>
    </row>
    <row r="706" spans="1:13" x14ac:dyDescent="0.35">
      <c r="A706" t="s">
        <v>86</v>
      </c>
      <c r="B706" t="s">
        <v>59</v>
      </c>
      <c r="C706" t="s">
        <v>21</v>
      </c>
      <c r="D706" t="s">
        <v>28</v>
      </c>
      <c r="E706">
        <v>30</v>
      </c>
      <c r="F706" s="4">
        <v>206</v>
      </c>
      <c r="G706" s="9" t="s">
        <v>1441</v>
      </c>
      <c r="H706" s="1">
        <v>45366</v>
      </c>
      <c r="I706" t="s">
        <v>30</v>
      </c>
      <c r="J706" t="s">
        <v>1442</v>
      </c>
      <c r="K706" t="s">
        <v>32</v>
      </c>
      <c r="L706" s="3">
        <f t="shared" ref="L706:L769" si="22">VALUE(SUBSTITUTE(G706,"$",""))</f>
        <v>35133</v>
      </c>
      <c r="M706" s="3">
        <f t="shared" si="21"/>
        <v>170.54854368932038</v>
      </c>
    </row>
    <row r="707" spans="1:13" x14ac:dyDescent="0.35">
      <c r="A707" t="s">
        <v>39</v>
      </c>
      <c r="B707" t="s">
        <v>40</v>
      </c>
      <c r="C707" t="s">
        <v>13</v>
      </c>
      <c r="D707" t="s">
        <v>14</v>
      </c>
      <c r="E707">
        <v>30</v>
      </c>
      <c r="F707" s="4">
        <v>1348</v>
      </c>
      <c r="G707" s="9" t="s">
        <v>1443</v>
      </c>
      <c r="H707" s="1">
        <v>45467</v>
      </c>
      <c r="I707" t="s">
        <v>30</v>
      </c>
      <c r="J707" t="s">
        <v>1444</v>
      </c>
      <c r="K707" t="s">
        <v>56</v>
      </c>
      <c r="L707" s="3">
        <f t="shared" si="22"/>
        <v>37823</v>
      </c>
      <c r="M707" s="3">
        <f t="shared" ref="M707:M770" si="23">VALUE(SUBSTITUTE(SUBSTITUTE(G707,"$",""),",",""))/F707</f>
        <v>28.058605341246292</v>
      </c>
    </row>
    <row r="708" spans="1:13" x14ac:dyDescent="0.35">
      <c r="A708" t="s">
        <v>86</v>
      </c>
      <c r="B708" t="s">
        <v>40</v>
      </c>
      <c r="C708" t="s">
        <v>13</v>
      </c>
      <c r="D708" t="s">
        <v>22</v>
      </c>
      <c r="E708">
        <v>60</v>
      </c>
      <c r="F708" s="4">
        <v>1397</v>
      </c>
      <c r="G708" s="9" t="s">
        <v>1445</v>
      </c>
      <c r="H708" s="1">
        <v>45225</v>
      </c>
      <c r="I708" t="s">
        <v>36</v>
      </c>
      <c r="J708" t="s">
        <v>1446</v>
      </c>
      <c r="K708" t="s">
        <v>19</v>
      </c>
      <c r="L708" s="3">
        <f t="shared" si="22"/>
        <v>45903</v>
      </c>
      <c r="M708" s="3">
        <f t="shared" si="23"/>
        <v>32.85826771653543</v>
      </c>
    </row>
    <row r="709" spans="1:13" x14ac:dyDescent="0.35">
      <c r="A709" t="s">
        <v>11</v>
      </c>
      <c r="B709" t="s">
        <v>40</v>
      </c>
      <c r="C709" t="s">
        <v>13</v>
      </c>
      <c r="D709" t="s">
        <v>28</v>
      </c>
      <c r="E709" t="s">
        <v>23</v>
      </c>
      <c r="F709" s="4">
        <v>1514</v>
      </c>
      <c r="G709" s="9" t="s">
        <v>1447</v>
      </c>
      <c r="H709" s="1">
        <v>45398</v>
      </c>
      <c r="I709" t="s">
        <v>45</v>
      </c>
      <c r="J709" t="s">
        <v>1448</v>
      </c>
      <c r="K709" t="s">
        <v>19</v>
      </c>
      <c r="L709" s="3">
        <f t="shared" si="22"/>
        <v>24056</v>
      </c>
      <c r="M709" s="3">
        <f t="shared" si="23"/>
        <v>15.889035667107001</v>
      </c>
    </row>
    <row r="710" spans="1:13" x14ac:dyDescent="0.35">
      <c r="A710" t="s">
        <v>11</v>
      </c>
      <c r="B710" t="s">
        <v>40</v>
      </c>
      <c r="C710" t="s">
        <v>13</v>
      </c>
      <c r="D710" t="s">
        <v>28</v>
      </c>
      <c r="E710">
        <v>30</v>
      </c>
      <c r="F710" s="4">
        <v>160</v>
      </c>
      <c r="G710" s="9" t="s">
        <v>1449</v>
      </c>
      <c r="H710" s="1">
        <v>45229</v>
      </c>
      <c r="I710" t="s">
        <v>48</v>
      </c>
      <c r="J710" t="s">
        <v>1450</v>
      </c>
      <c r="K710" t="s">
        <v>19</v>
      </c>
      <c r="L710" s="3">
        <f t="shared" si="22"/>
        <v>14104</v>
      </c>
      <c r="M710" s="3">
        <f t="shared" si="23"/>
        <v>88.15</v>
      </c>
    </row>
    <row r="711" spans="1:13" x14ac:dyDescent="0.35">
      <c r="A711" t="s">
        <v>39</v>
      </c>
      <c r="B711" t="s">
        <v>40</v>
      </c>
      <c r="C711" t="s">
        <v>33</v>
      </c>
      <c r="D711" t="s">
        <v>22</v>
      </c>
      <c r="E711">
        <v>60</v>
      </c>
      <c r="F711" s="4">
        <v>1386</v>
      </c>
      <c r="G711" s="9" t="s">
        <v>1451</v>
      </c>
      <c r="H711" s="1">
        <v>45326</v>
      </c>
      <c r="I711" t="s">
        <v>36</v>
      </c>
      <c r="J711" t="s">
        <v>1452</v>
      </c>
      <c r="K711" t="s">
        <v>32</v>
      </c>
      <c r="L711" s="3">
        <f t="shared" si="22"/>
        <v>21572</v>
      </c>
      <c r="M711" s="3">
        <f t="shared" si="23"/>
        <v>15.564213564213564</v>
      </c>
    </row>
    <row r="712" spans="1:13" x14ac:dyDescent="0.35">
      <c r="A712" t="s">
        <v>39</v>
      </c>
      <c r="B712" t="s">
        <v>59</v>
      </c>
      <c r="C712" t="s">
        <v>21</v>
      </c>
      <c r="D712" t="s">
        <v>22</v>
      </c>
      <c r="E712">
        <v>60</v>
      </c>
      <c r="F712" s="4">
        <v>348</v>
      </c>
      <c r="G712" s="9" t="s">
        <v>1453</v>
      </c>
      <c r="H712" s="1">
        <v>45356</v>
      </c>
      <c r="I712" t="s">
        <v>30</v>
      </c>
      <c r="J712" t="s">
        <v>1454</v>
      </c>
      <c r="K712" t="s">
        <v>38</v>
      </c>
      <c r="L712" s="3">
        <f t="shared" si="22"/>
        <v>3487</v>
      </c>
      <c r="M712" s="3">
        <f t="shared" si="23"/>
        <v>10.020114942528735</v>
      </c>
    </row>
    <row r="713" spans="1:13" x14ac:dyDescent="0.35">
      <c r="A713" t="s">
        <v>86</v>
      </c>
      <c r="B713" t="s">
        <v>12</v>
      </c>
      <c r="C713" t="s">
        <v>27</v>
      </c>
      <c r="D713" t="s">
        <v>34</v>
      </c>
      <c r="E713" t="s">
        <v>15</v>
      </c>
      <c r="F713" s="4">
        <v>1100</v>
      </c>
      <c r="G713" s="9" t="s">
        <v>1455</v>
      </c>
      <c r="H713" s="1">
        <v>45399</v>
      </c>
      <c r="I713" t="s">
        <v>36</v>
      </c>
      <c r="J713" t="s">
        <v>1456</v>
      </c>
      <c r="K713" t="s">
        <v>32</v>
      </c>
      <c r="L713" s="3">
        <f t="shared" si="22"/>
        <v>3858</v>
      </c>
      <c r="M713" s="3">
        <f t="shared" si="23"/>
        <v>3.5072727272727273</v>
      </c>
    </row>
    <row r="714" spans="1:13" x14ac:dyDescent="0.35">
      <c r="A714" t="s">
        <v>39</v>
      </c>
      <c r="B714" t="s">
        <v>59</v>
      </c>
      <c r="C714" t="s">
        <v>27</v>
      </c>
      <c r="D714" t="s">
        <v>14</v>
      </c>
      <c r="E714">
        <v>60</v>
      </c>
      <c r="F714" s="4">
        <v>514</v>
      </c>
      <c r="G714" s="9" t="s">
        <v>1457</v>
      </c>
      <c r="H714" s="1">
        <v>45241</v>
      </c>
      <c r="I714" t="s">
        <v>30</v>
      </c>
      <c r="J714" t="s">
        <v>1458</v>
      </c>
      <c r="K714" t="s">
        <v>56</v>
      </c>
      <c r="L714" s="3">
        <f t="shared" si="22"/>
        <v>39240</v>
      </c>
      <c r="M714" s="3">
        <f t="shared" si="23"/>
        <v>76.342412451361866</v>
      </c>
    </row>
    <row r="715" spans="1:13" x14ac:dyDescent="0.35">
      <c r="A715" t="s">
        <v>11</v>
      </c>
      <c r="B715" t="s">
        <v>12</v>
      </c>
      <c r="C715" t="s">
        <v>77</v>
      </c>
      <c r="D715" t="s">
        <v>14</v>
      </c>
      <c r="E715" t="s">
        <v>23</v>
      </c>
      <c r="F715" s="4">
        <v>1752</v>
      </c>
      <c r="G715" s="9" t="s">
        <v>1459</v>
      </c>
      <c r="H715" s="1">
        <v>45289</v>
      </c>
      <c r="I715" t="s">
        <v>48</v>
      </c>
      <c r="J715" t="s">
        <v>1460</v>
      </c>
      <c r="K715" t="s">
        <v>52</v>
      </c>
      <c r="L715" s="3">
        <f t="shared" si="22"/>
        <v>38068</v>
      </c>
      <c r="M715" s="3">
        <f t="shared" si="23"/>
        <v>21.728310502283104</v>
      </c>
    </row>
    <row r="716" spans="1:13" x14ac:dyDescent="0.35">
      <c r="A716" t="s">
        <v>53</v>
      </c>
      <c r="B716" t="s">
        <v>12</v>
      </c>
      <c r="C716" t="s">
        <v>21</v>
      </c>
      <c r="D716" t="s">
        <v>14</v>
      </c>
      <c r="E716" t="s">
        <v>43</v>
      </c>
      <c r="F716" s="4">
        <v>358</v>
      </c>
      <c r="G716" s="9" t="s">
        <v>1461</v>
      </c>
      <c r="H716" s="1">
        <v>45364</v>
      </c>
      <c r="I716" t="s">
        <v>45</v>
      </c>
      <c r="J716" t="s">
        <v>1462</v>
      </c>
      <c r="K716" t="s">
        <v>56</v>
      </c>
      <c r="L716" s="3">
        <f t="shared" si="22"/>
        <v>13438</v>
      </c>
      <c r="M716" s="3">
        <f t="shared" si="23"/>
        <v>37.536312849162009</v>
      </c>
    </row>
    <row r="717" spans="1:13" x14ac:dyDescent="0.35">
      <c r="A717" t="s">
        <v>53</v>
      </c>
      <c r="B717" t="s">
        <v>59</v>
      </c>
      <c r="C717" t="s">
        <v>27</v>
      </c>
      <c r="D717" t="s">
        <v>22</v>
      </c>
      <c r="E717" t="s">
        <v>43</v>
      </c>
      <c r="F717" s="4">
        <v>506</v>
      </c>
      <c r="G717" s="9" t="s">
        <v>1463</v>
      </c>
      <c r="H717" s="1">
        <v>45392</v>
      </c>
      <c r="I717" t="s">
        <v>36</v>
      </c>
      <c r="J717" t="s">
        <v>1464</v>
      </c>
      <c r="K717" t="s">
        <v>56</v>
      </c>
      <c r="L717" s="3">
        <f t="shared" si="22"/>
        <v>28350</v>
      </c>
      <c r="M717" s="3">
        <f t="shared" si="23"/>
        <v>56.027667984189726</v>
      </c>
    </row>
    <row r="718" spans="1:13" x14ac:dyDescent="0.35">
      <c r="A718" t="s">
        <v>26</v>
      </c>
      <c r="B718" t="s">
        <v>59</v>
      </c>
      <c r="C718" t="s">
        <v>13</v>
      </c>
      <c r="D718" t="s">
        <v>14</v>
      </c>
      <c r="E718" t="s">
        <v>23</v>
      </c>
      <c r="F718" s="4">
        <v>1938</v>
      </c>
      <c r="G718" s="9" t="s">
        <v>1465</v>
      </c>
      <c r="H718" s="1">
        <v>45485</v>
      </c>
      <c r="I718" t="s">
        <v>36</v>
      </c>
      <c r="J718" t="s">
        <v>1466</v>
      </c>
      <c r="K718" t="s">
        <v>52</v>
      </c>
      <c r="L718" s="3">
        <f t="shared" si="22"/>
        <v>28072</v>
      </c>
      <c r="M718" s="3">
        <f t="shared" si="23"/>
        <v>14.485036119711042</v>
      </c>
    </row>
    <row r="719" spans="1:13" x14ac:dyDescent="0.35">
      <c r="A719" t="s">
        <v>11</v>
      </c>
      <c r="B719" t="s">
        <v>40</v>
      </c>
      <c r="C719" t="s">
        <v>27</v>
      </c>
      <c r="D719" t="s">
        <v>22</v>
      </c>
      <c r="E719" t="s">
        <v>43</v>
      </c>
      <c r="F719" s="4">
        <v>794</v>
      </c>
      <c r="G719" s="9" t="s">
        <v>1467</v>
      </c>
      <c r="H719" s="1">
        <v>45256</v>
      </c>
      <c r="I719" t="s">
        <v>48</v>
      </c>
      <c r="J719" t="s">
        <v>1468</v>
      </c>
      <c r="K719" t="s">
        <v>19</v>
      </c>
      <c r="L719" s="3">
        <f t="shared" si="22"/>
        <v>29529</v>
      </c>
      <c r="M719" s="3">
        <f t="shared" si="23"/>
        <v>37.190176322418139</v>
      </c>
    </row>
    <row r="720" spans="1:13" x14ac:dyDescent="0.35">
      <c r="A720" t="s">
        <v>53</v>
      </c>
      <c r="B720" t="s">
        <v>20</v>
      </c>
      <c r="C720" t="s">
        <v>33</v>
      </c>
      <c r="D720" t="s">
        <v>22</v>
      </c>
      <c r="E720" t="s">
        <v>43</v>
      </c>
      <c r="F720" s="4">
        <v>483</v>
      </c>
      <c r="G720" s="9" t="s">
        <v>1469</v>
      </c>
      <c r="H720" s="1">
        <v>45282</v>
      </c>
      <c r="I720" t="s">
        <v>48</v>
      </c>
      <c r="J720" t="s">
        <v>1470</v>
      </c>
      <c r="K720" t="s">
        <v>38</v>
      </c>
      <c r="L720" s="3">
        <f t="shared" si="22"/>
        <v>26712</v>
      </c>
      <c r="M720" s="3">
        <f t="shared" si="23"/>
        <v>55.304347826086953</v>
      </c>
    </row>
    <row r="721" spans="1:13" x14ac:dyDescent="0.35">
      <c r="A721" t="s">
        <v>86</v>
      </c>
      <c r="B721" t="s">
        <v>40</v>
      </c>
      <c r="C721" t="s">
        <v>21</v>
      </c>
      <c r="D721" t="s">
        <v>14</v>
      </c>
      <c r="E721" t="s">
        <v>15</v>
      </c>
      <c r="F721" s="4">
        <v>1884</v>
      </c>
      <c r="G721" s="9" t="s">
        <v>1471</v>
      </c>
      <c r="H721" s="1">
        <v>45423</v>
      </c>
      <c r="I721" t="s">
        <v>36</v>
      </c>
      <c r="J721" t="s">
        <v>1472</v>
      </c>
      <c r="K721" t="s">
        <v>56</v>
      </c>
      <c r="L721" s="3">
        <f t="shared" si="22"/>
        <v>23635</v>
      </c>
      <c r="M721" s="3">
        <f t="shared" si="23"/>
        <v>12.545116772823778</v>
      </c>
    </row>
    <row r="722" spans="1:13" x14ac:dyDescent="0.35">
      <c r="A722" t="s">
        <v>86</v>
      </c>
      <c r="B722" t="s">
        <v>59</v>
      </c>
      <c r="C722" t="s">
        <v>21</v>
      </c>
      <c r="D722" t="s">
        <v>28</v>
      </c>
      <c r="E722" t="s">
        <v>43</v>
      </c>
      <c r="F722" s="4">
        <v>735</v>
      </c>
      <c r="G722" s="9" t="s">
        <v>1473</v>
      </c>
      <c r="H722" s="1">
        <v>45211</v>
      </c>
      <c r="I722" t="s">
        <v>30</v>
      </c>
      <c r="J722" t="s">
        <v>1474</v>
      </c>
      <c r="K722" t="s">
        <v>52</v>
      </c>
      <c r="L722" s="3">
        <f t="shared" si="22"/>
        <v>40658</v>
      </c>
      <c r="M722" s="3">
        <f t="shared" si="23"/>
        <v>55.317006802721089</v>
      </c>
    </row>
    <row r="723" spans="1:13" x14ac:dyDescent="0.35">
      <c r="A723" t="s">
        <v>11</v>
      </c>
      <c r="B723" t="s">
        <v>40</v>
      </c>
      <c r="C723" t="s">
        <v>77</v>
      </c>
      <c r="D723" t="s">
        <v>14</v>
      </c>
      <c r="E723" t="s">
        <v>15</v>
      </c>
      <c r="F723" s="4">
        <v>274</v>
      </c>
      <c r="G723" s="9" t="s">
        <v>1475</v>
      </c>
      <c r="H723" s="1">
        <v>45431</v>
      </c>
      <c r="I723" t="s">
        <v>36</v>
      </c>
      <c r="J723" t="s">
        <v>1476</v>
      </c>
      <c r="K723" t="s">
        <v>56</v>
      </c>
      <c r="L723" s="3">
        <f t="shared" si="22"/>
        <v>30681</v>
      </c>
      <c r="M723" s="3">
        <f t="shared" si="23"/>
        <v>111.97445255474453</v>
      </c>
    </row>
    <row r="724" spans="1:13" x14ac:dyDescent="0.35">
      <c r="A724" t="s">
        <v>39</v>
      </c>
      <c r="B724" t="s">
        <v>40</v>
      </c>
      <c r="C724" t="s">
        <v>13</v>
      </c>
      <c r="D724" t="s">
        <v>22</v>
      </c>
      <c r="E724" t="s">
        <v>15</v>
      </c>
      <c r="F724" s="4">
        <v>1805</v>
      </c>
      <c r="G724" s="9" t="s">
        <v>1477</v>
      </c>
      <c r="H724" s="1">
        <v>45392</v>
      </c>
      <c r="I724" t="s">
        <v>48</v>
      </c>
      <c r="J724" t="s">
        <v>1478</v>
      </c>
      <c r="K724" t="s">
        <v>32</v>
      </c>
      <c r="L724" s="3">
        <f t="shared" si="22"/>
        <v>40381</v>
      </c>
      <c r="M724" s="3">
        <f t="shared" si="23"/>
        <v>22.371745152354571</v>
      </c>
    </row>
    <row r="725" spans="1:13" x14ac:dyDescent="0.35">
      <c r="A725" t="s">
        <v>11</v>
      </c>
      <c r="B725" t="s">
        <v>59</v>
      </c>
      <c r="C725" t="s">
        <v>27</v>
      </c>
      <c r="D725" t="s">
        <v>34</v>
      </c>
      <c r="E725" t="s">
        <v>15</v>
      </c>
      <c r="F725" s="4">
        <v>873</v>
      </c>
      <c r="G725" s="9" t="s">
        <v>1479</v>
      </c>
      <c r="H725" s="1">
        <v>45332</v>
      </c>
      <c r="I725" t="s">
        <v>45</v>
      </c>
      <c r="J725" t="s">
        <v>1480</v>
      </c>
      <c r="K725" t="s">
        <v>19</v>
      </c>
      <c r="L725" s="3">
        <f t="shared" si="22"/>
        <v>28594</v>
      </c>
      <c r="M725" s="3">
        <f t="shared" si="23"/>
        <v>32.753722794959906</v>
      </c>
    </row>
    <row r="726" spans="1:13" x14ac:dyDescent="0.35">
      <c r="A726" t="s">
        <v>53</v>
      </c>
      <c r="B726" t="s">
        <v>12</v>
      </c>
      <c r="C726" t="s">
        <v>77</v>
      </c>
      <c r="D726" t="s">
        <v>22</v>
      </c>
      <c r="E726" t="s">
        <v>23</v>
      </c>
      <c r="F726" s="4">
        <v>132</v>
      </c>
      <c r="G726" s="9" t="s">
        <v>1481</v>
      </c>
      <c r="H726" s="1">
        <v>45400</v>
      </c>
      <c r="I726" t="s">
        <v>36</v>
      </c>
      <c r="J726" t="s">
        <v>1482</v>
      </c>
      <c r="K726" t="s">
        <v>32</v>
      </c>
      <c r="L726" s="3">
        <f t="shared" si="22"/>
        <v>44778</v>
      </c>
      <c r="M726" s="3">
        <f t="shared" si="23"/>
        <v>339.22727272727275</v>
      </c>
    </row>
    <row r="727" spans="1:13" x14ac:dyDescent="0.35">
      <c r="A727" t="s">
        <v>53</v>
      </c>
      <c r="B727" t="s">
        <v>12</v>
      </c>
      <c r="C727" t="s">
        <v>13</v>
      </c>
      <c r="D727" t="s">
        <v>89</v>
      </c>
      <c r="E727" t="s">
        <v>15</v>
      </c>
      <c r="F727" s="4">
        <v>1420</v>
      </c>
      <c r="G727" s="9" t="s">
        <v>1483</v>
      </c>
      <c r="H727" s="1">
        <v>45314</v>
      </c>
      <c r="I727" t="s">
        <v>45</v>
      </c>
      <c r="J727" t="s">
        <v>1484</v>
      </c>
      <c r="K727" t="s">
        <v>56</v>
      </c>
      <c r="L727" s="3">
        <f t="shared" si="22"/>
        <v>14853</v>
      </c>
      <c r="M727" s="3">
        <f t="shared" si="23"/>
        <v>10.459859154929578</v>
      </c>
    </row>
    <row r="728" spans="1:13" x14ac:dyDescent="0.35">
      <c r="A728" t="s">
        <v>53</v>
      </c>
      <c r="B728" t="s">
        <v>12</v>
      </c>
      <c r="C728" t="s">
        <v>33</v>
      </c>
      <c r="D728" t="s">
        <v>14</v>
      </c>
      <c r="E728" t="s">
        <v>15</v>
      </c>
      <c r="F728" s="4">
        <v>1683</v>
      </c>
      <c r="G728" s="9" t="s">
        <v>1485</v>
      </c>
      <c r="H728" s="1">
        <v>45202</v>
      </c>
      <c r="I728" t="s">
        <v>45</v>
      </c>
      <c r="J728" t="s">
        <v>1486</v>
      </c>
      <c r="K728" t="s">
        <v>52</v>
      </c>
      <c r="L728" s="3">
        <f t="shared" si="22"/>
        <v>29645</v>
      </c>
      <c r="M728" s="3">
        <f t="shared" si="23"/>
        <v>17.614379084967322</v>
      </c>
    </row>
    <row r="729" spans="1:13" x14ac:dyDescent="0.35">
      <c r="A729" t="s">
        <v>26</v>
      </c>
      <c r="B729" t="s">
        <v>59</v>
      </c>
      <c r="C729" t="s">
        <v>33</v>
      </c>
      <c r="D729" t="s">
        <v>89</v>
      </c>
      <c r="E729">
        <v>60</v>
      </c>
      <c r="F729" s="4">
        <v>1143</v>
      </c>
      <c r="G729" s="9" t="s">
        <v>1487</v>
      </c>
      <c r="H729" s="1">
        <v>45407</v>
      </c>
      <c r="I729" t="s">
        <v>36</v>
      </c>
      <c r="J729" t="s">
        <v>1488</v>
      </c>
      <c r="K729" t="s">
        <v>56</v>
      </c>
      <c r="L729" s="3">
        <f t="shared" si="22"/>
        <v>43589</v>
      </c>
      <c r="M729" s="3">
        <f t="shared" si="23"/>
        <v>38.135608048993873</v>
      </c>
    </row>
    <row r="730" spans="1:13" x14ac:dyDescent="0.35">
      <c r="A730" t="s">
        <v>11</v>
      </c>
      <c r="B730" t="s">
        <v>62</v>
      </c>
      <c r="C730" t="s">
        <v>21</v>
      </c>
      <c r="D730" t="s">
        <v>22</v>
      </c>
      <c r="E730">
        <v>30</v>
      </c>
      <c r="F730" s="4">
        <v>223</v>
      </c>
      <c r="G730" s="9" t="s">
        <v>1489</v>
      </c>
      <c r="H730" s="1">
        <v>45416</v>
      </c>
      <c r="I730" t="s">
        <v>45</v>
      </c>
      <c r="J730" t="s">
        <v>1490</v>
      </c>
      <c r="K730" t="s">
        <v>19</v>
      </c>
      <c r="L730" s="3">
        <f t="shared" si="22"/>
        <v>2979</v>
      </c>
      <c r="M730" s="3">
        <f t="shared" si="23"/>
        <v>13.358744394618833</v>
      </c>
    </row>
    <row r="731" spans="1:13" x14ac:dyDescent="0.35">
      <c r="A731" t="s">
        <v>39</v>
      </c>
      <c r="B731" t="s">
        <v>20</v>
      </c>
      <c r="C731" t="s">
        <v>77</v>
      </c>
      <c r="D731" t="s">
        <v>34</v>
      </c>
      <c r="E731">
        <v>60</v>
      </c>
      <c r="F731" s="4">
        <v>1324</v>
      </c>
      <c r="G731" s="9" t="s">
        <v>1491</v>
      </c>
      <c r="H731" s="1">
        <v>45205</v>
      </c>
      <c r="I731" t="s">
        <v>36</v>
      </c>
      <c r="J731" t="s">
        <v>1492</v>
      </c>
      <c r="K731" t="s">
        <v>19</v>
      </c>
      <c r="L731" s="3">
        <f t="shared" si="22"/>
        <v>4688</v>
      </c>
      <c r="M731" s="3">
        <f t="shared" si="23"/>
        <v>3.5407854984894258</v>
      </c>
    </row>
    <row r="732" spans="1:13" x14ac:dyDescent="0.35">
      <c r="A732" t="s">
        <v>26</v>
      </c>
      <c r="B732" t="s">
        <v>40</v>
      </c>
      <c r="C732" t="s">
        <v>33</v>
      </c>
      <c r="D732" t="s">
        <v>89</v>
      </c>
      <c r="E732" t="s">
        <v>23</v>
      </c>
      <c r="F732" s="4">
        <v>194</v>
      </c>
      <c r="G732" s="9" t="s">
        <v>1493</v>
      </c>
      <c r="H732" s="1">
        <v>45385</v>
      </c>
      <c r="I732" t="s">
        <v>45</v>
      </c>
      <c r="J732" t="s">
        <v>1494</v>
      </c>
      <c r="K732" t="s">
        <v>52</v>
      </c>
      <c r="L732" s="3">
        <f t="shared" si="22"/>
        <v>24534</v>
      </c>
      <c r="M732" s="3">
        <f t="shared" si="23"/>
        <v>126.4639175257732</v>
      </c>
    </row>
    <row r="733" spans="1:13" x14ac:dyDescent="0.35">
      <c r="A733" t="s">
        <v>39</v>
      </c>
      <c r="B733" t="s">
        <v>59</v>
      </c>
      <c r="C733" t="s">
        <v>13</v>
      </c>
      <c r="D733" t="s">
        <v>34</v>
      </c>
      <c r="E733">
        <v>60</v>
      </c>
      <c r="F733" s="4">
        <v>661</v>
      </c>
      <c r="G733" s="9" t="s">
        <v>1495</v>
      </c>
      <c r="H733" s="1">
        <v>45311</v>
      </c>
      <c r="I733" t="s">
        <v>30</v>
      </c>
      <c r="J733" t="s">
        <v>1496</v>
      </c>
      <c r="K733" t="s">
        <v>52</v>
      </c>
      <c r="L733" s="3">
        <f t="shared" si="22"/>
        <v>23684</v>
      </c>
      <c r="M733" s="3">
        <f t="shared" si="23"/>
        <v>35.83055975794251</v>
      </c>
    </row>
    <row r="734" spans="1:13" x14ac:dyDescent="0.35">
      <c r="A734" t="s">
        <v>11</v>
      </c>
      <c r="B734" t="s">
        <v>59</v>
      </c>
      <c r="C734" t="s">
        <v>13</v>
      </c>
      <c r="D734" t="s">
        <v>34</v>
      </c>
      <c r="E734" t="s">
        <v>15</v>
      </c>
      <c r="F734" s="4">
        <v>751</v>
      </c>
      <c r="G734" s="9" t="s">
        <v>1497</v>
      </c>
      <c r="H734" s="1">
        <v>45367</v>
      </c>
      <c r="I734" t="s">
        <v>17</v>
      </c>
      <c r="J734" t="s">
        <v>1498</v>
      </c>
      <c r="K734" t="s">
        <v>38</v>
      </c>
      <c r="L734" s="3">
        <f t="shared" si="22"/>
        <v>19968</v>
      </c>
      <c r="M734" s="3">
        <f t="shared" si="23"/>
        <v>26.588548601864183</v>
      </c>
    </row>
    <row r="735" spans="1:13" x14ac:dyDescent="0.35">
      <c r="A735" t="s">
        <v>11</v>
      </c>
      <c r="B735" t="s">
        <v>40</v>
      </c>
      <c r="C735" t="s">
        <v>21</v>
      </c>
      <c r="D735" t="s">
        <v>89</v>
      </c>
      <c r="E735" t="s">
        <v>23</v>
      </c>
      <c r="F735" s="4">
        <v>1257</v>
      </c>
      <c r="G735" s="9" t="s">
        <v>1499</v>
      </c>
      <c r="H735" s="1">
        <v>45499</v>
      </c>
      <c r="I735" t="s">
        <v>48</v>
      </c>
      <c r="J735" t="s">
        <v>1500</v>
      </c>
      <c r="K735" t="s">
        <v>38</v>
      </c>
      <c r="L735" s="3">
        <f t="shared" si="22"/>
        <v>23292</v>
      </c>
      <c r="M735" s="3">
        <f t="shared" si="23"/>
        <v>18.529832935560858</v>
      </c>
    </row>
    <row r="736" spans="1:13" x14ac:dyDescent="0.35">
      <c r="A736" t="s">
        <v>86</v>
      </c>
      <c r="B736" t="s">
        <v>40</v>
      </c>
      <c r="C736" t="s">
        <v>33</v>
      </c>
      <c r="D736" t="s">
        <v>22</v>
      </c>
      <c r="E736">
        <v>60</v>
      </c>
      <c r="F736" s="4">
        <v>302</v>
      </c>
      <c r="G736" s="9" t="s">
        <v>1501</v>
      </c>
      <c r="H736" s="1">
        <v>45301</v>
      </c>
      <c r="I736" t="s">
        <v>30</v>
      </c>
      <c r="J736" t="s">
        <v>1502</v>
      </c>
      <c r="K736" t="s">
        <v>52</v>
      </c>
      <c r="L736" s="3">
        <f t="shared" si="22"/>
        <v>13102</v>
      </c>
      <c r="M736" s="3">
        <f t="shared" si="23"/>
        <v>43.384105960264904</v>
      </c>
    </row>
    <row r="737" spans="1:13" x14ac:dyDescent="0.35">
      <c r="A737" t="s">
        <v>86</v>
      </c>
      <c r="B737" t="s">
        <v>59</v>
      </c>
      <c r="C737" t="s">
        <v>27</v>
      </c>
      <c r="D737" t="s">
        <v>22</v>
      </c>
      <c r="E737" t="s">
        <v>23</v>
      </c>
      <c r="F737" s="4">
        <v>952</v>
      </c>
      <c r="G737" s="9" t="s">
        <v>1503</v>
      </c>
      <c r="H737" s="1">
        <v>45448</v>
      </c>
      <c r="I737" t="s">
        <v>48</v>
      </c>
      <c r="J737" t="s">
        <v>1504</v>
      </c>
      <c r="K737" t="s">
        <v>38</v>
      </c>
      <c r="L737" s="3">
        <f t="shared" si="22"/>
        <v>24617</v>
      </c>
      <c r="M737" s="3">
        <f t="shared" si="23"/>
        <v>25.858193277310924</v>
      </c>
    </row>
    <row r="738" spans="1:13" x14ac:dyDescent="0.35">
      <c r="A738" t="s">
        <v>53</v>
      </c>
      <c r="B738" t="s">
        <v>20</v>
      </c>
      <c r="C738" t="s">
        <v>27</v>
      </c>
      <c r="D738" t="s">
        <v>34</v>
      </c>
      <c r="E738" t="s">
        <v>23</v>
      </c>
      <c r="F738" s="4">
        <v>507</v>
      </c>
      <c r="G738" s="9" t="s">
        <v>1505</v>
      </c>
      <c r="H738" s="1">
        <v>45269</v>
      </c>
      <c r="I738" t="s">
        <v>36</v>
      </c>
      <c r="J738" t="s">
        <v>1506</v>
      </c>
      <c r="K738" t="s">
        <v>52</v>
      </c>
      <c r="L738" s="3">
        <f t="shared" si="22"/>
        <v>10837</v>
      </c>
      <c r="M738" s="3">
        <f t="shared" si="23"/>
        <v>21.374753451676529</v>
      </c>
    </row>
    <row r="739" spans="1:13" x14ac:dyDescent="0.35">
      <c r="A739" t="s">
        <v>11</v>
      </c>
      <c r="B739" t="s">
        <v>40</v>
      </c>
      <c r="C739" t="s">
        <v>21</v>
      </c>
      <c r="D739" t="s">
        <v>34</v>
      </c>
      <c r="E739" t="s">
        <v>15</v>
      </c>
      <c r="F739" s="4">
        <v>1325</v>
      </c>
      <c r="G739" s="9" t="s">
        <v>1507</v>
      </c>
      <c r="H739" s="1">
        <v>45187</v>
      </c>
      <c r="I739" t="s">
        <v>17</v>
      </c>
      <c r="J739" t="s">
        <v>1508</v>
      </c>
      <c r="K739" t="s">
        <v>19</v>
      </c>
      <c r="L739" s="3">
        <f t="shared" si="22"/>
        <v>29008</v>
      </c>
      <c r="M739" s="3">
        <f t="shared" si="23"/>
        <v>21.892830188679245</v>
      </c>
    </row>
    <row r="740" spans="1:13" x14ac:dyDescent="0.35">
      <c r="A740" t="s">
        <v>11</v>
      </c>
      <c r="B740" t="s">
        <v>40</v>
      </c>
      <c r="C740" t="s">
        <v>13</v>
      </c>
      <c r="D740" t="s">
        <v>34</v>
      </c>
      <c r="E740" t="s">
        <v>15</v>
      </c>
      <c r="F740" s="4">
        <v>970</v>
      </c>
      <c r="G740" s="9" t="s">
        <v>863</v>
      </c>
      <c r="H740" s="1">
        <v>45439</v>
      </c>
      <c r="I740" t="s">
        <v>30</v>
      </c>
      <c r="J740" t="s">
        <v>1509</v>
      </c>
      <c r="K740" t="s">
        <v>38</v>
      </c>
      <c r="L740" s="3">
        <f t="shared" si="22"/>
        <v>30738</v>
      </c>
      <c r="M740" s="3">
        <f t="shared" si="23"/>
        <v>31.688659793814434</v>
      </c>
    </row>
    <row r="741" spans="1:13" x14ac:dyDescent="0.35">
      <c r="A741" t="s">
        <v>26</v>
      </c>
      <c r="B741" t="s">
        <v>12</v>
      </c>
      <c r="C741" t="s">
        <v>27</v>
      </c>
      <c r="D741" t="s">
        <v>22</v>
      </c>
      <c r="E741" t="s">
        <v>15</v>
      </c>
      <c r="F741" s="4">
        <v>1034</v>
      </c>
      <c r="G741" s="9" t="s">
        <v>1510</v>
      </c>
      <c r="H741" s="1">
        <v>45368</v>
      </c>
      <c r="I741" t="s">
        <v>36</v>
      </c>
      <c r="J741" t="s">
        <v>1511</v>
      </c>
      <c r="K741" t="s">
        <v>56</v>
      </c>
      <c r="L741" s="3">
        <f t="shared" si="22"/>
        <v>9255</v>
      </c>
      <c r="M741" s="3">
        <f t="shared" si="23"/>
        <v>8.9506769825918759</v>
      </c>
    </row>
    <row r="742" spans="1:13" x14ac:dyDescent="0.35">
      <c r="A742" t="s">
        <v>26</v>
      </c>
      <c r="B742" t="s">
        <v>62</v>
      </c>
      <c r="C742" t="s">
        <v>27</v>
      </c>
      <c r="D742" t="s">
        <v>14</v>
      </c>
      <c r="E742" t="s">
        <v>23</v>
      </c>
      <c r="F742" s="4">
        <v>1127</v>
      </c>
      <c r="G742" s="9" t="s">
        <v>1512</v>
      </c>
      <c r="H742" s="1">
        <v>45467</v>
      </c>
      <c r="I742" t="s">
        <v>17</v>
      </c>
      <c r="J742" t="s">
        <v>1513</v>
      </c>
      <c r="K742" t="s">
        <v>32</v>
      </c>
      <c r="L742" s="3">
        <f t="shared" si="22"/>
        <v>3828</v>
      </c>
      <c r="M742" s="3">
        <f t="shared" si="23"/>
        <v>3.3966282165039927</v>
      </c>
    </row>
    <row r="743" spans="1:13" x14ac:dyDescent="0.35">
      <c r="A743" t="s">
        <v>26</v>
      </c>
      <c r="B743" t="s">
        <v>62</v>
      </c>
      <c r="C743" t="s">
        <v>77</v>
      </c>
      <c r="D743" t="s">
        <v>89</v>
      </c>
      <c r="E743">
        <v>30</v>
      </c>
      <c r="F743" s="4">
        <v>347</v>
      </c>
      <c r="G743" s="9" t="s">
        <v>1514</v>
      </c>
      <c r="H743" s="1">
        <v>45421</v>
      </c>
      <c r="I743" t="s">
        <v>30</v>
      </c>
      <c r="J743" t="s">
        <v>1515</v>
      </c>
      <c r="K743" t="s">
        <v>38</v>
      </c>
      <c r="L743" s="3">
        <f t="shared" si="22"/>
        <v>46219</v>
      </c>
      <c r="M743" s="3">
        <f t="shared" si="23"/>
        <v>133.19596541786743</v>
      </c>
    </row>
    <row r="744" spans="1:13" x14ac:dyDescent="0.35">
      <c r="A744" t="s">
        <v>39</v>
      </c>
      <c r="B744" t="s">
        <v>59</v>
      </c>
      <c r="C744" t="s">
        <v>77</v>
      </c>
      <c r="D744" t="s">
        <v>34</v>
      </c>
      <c r="E744" t="s">
        <v>15</v>
      </c>
      <c r="F744" s="4">
        <v>1032</v>
      </c>
      <c r="G744" s="9" t="s">
        <v>1516</v>
      </c>
      <c r="H744" s="1">
        <v>45311</v>
      </c>
      <c r="I744" t="s">
        <v>48</v>
      </c>
      <c r="J744" t="s">
        <v>1517</v>
      </c>
      <c r="K744" t="s">
        <v>19</v>
      </c>
      <c r="L744" s="3">
        <f t="shared" si="22"/>
        <v>37678</v>
      </c>
      <c r="M744" s="3">
        <f t="shared" si="23"/>
        <v>36.509689922480618</v>
      </c>
    </row>
    <row r="745" spans="1:13" x14ac:dyDescent="0.35">
      <c r="A745" t="s">
        <v>11</v>
      </c>
      <c r="B745" t="s">
        <v>62</v>
      </c>
      <c r="C745" t="s">
        <v>13</v>
      </c>
      <c r="D745" t="s">
        <v>28</v>
      </c>
      <c r="E745">
        <v>30</v>
      </c>
      <c r="F745" s="4">
        <v>1105</v>
      </c>
      <c r="G745" s="9" t="s">
        <v>1518</v>
      </c>
      <c r="H745" s="1">
        <v>45253</v>
      </c>
      <c r="I745" t="s">
        <v>36</v>
      </c>
      <c r="J745" t="s">
        <v>1519</v>
      </c>
      <c r="K745" t="s">
        <v>38</v>
      </c>
      <c r="L745" s="3">
        <f t="shared" si="22"/>
        <v>35389</v>
      </c>
      <c r="M745" s="3">
        <f t="shared" si="23"/>
        <v>32.026244343891406</v>
      </c>
    </row>
    <row r="746" spans="1:13" x14ac:dyDescent="0.35">
      <c r="A746" t="s">
        <v>11</v>
      </c>
      <c r="B746" t="s">
        <v>40</v>
      </c>
      <c r="C746" t="s">
        <v>77</v>
      </c>
      <c r="D746" t="s">
        <v>89</v>
      </c>
      <c r="E746" t="s">
        <v>23</v>
      </c>
      <c r="F746" s="4">
        <v>107</v>
      </c>
      <c r="G746" s="9" t="s">
        <v>1520</v>
      </c>
      <c r="H746" s="1">
        <v>45317</v>
      </c>
      <c r="I746" t="s">
        <v>17</v>
      </c>
      <c r="J746" t="s">
        <v>1521</v>
      </c>
      <c r="K746" t="s">
        <v>52</v>
      </c>
      <c r="L746" s="3">
        <f t="shared" si="22"/>
        <v>11533</v>
      </c>
      <c r="M746" s="3">
        <f t="shared" si="23"/>
        <v>107.78504672897196</v>
      </c>
    </row>
    <row r="747" spans="1:13" x14ac:dyDescent="0.35">
      <c r="A747" t="s">
        <v>26</v>
      </c>
      <c r="B747" t="s">
        <v>62</v>
      </c>
      <c r="C747" t="s">
        <v>21</v>
      </c>
      <c r="D747" t="s">
        <v>14</v>
      </c>
      <c r="E747">
        <v>60</v>
      </c>
      <c r="F747" s="4">
        <v>585</v>
      </c>
      <c r="G747" s="9" t="s">
        <v>1522</v>
      </c>
      <c r="H747" s="1">
        <v>45340</v>
      </c>
      <c r="I747" t="s">
        <v>48</v>
      </c>
      <c r="J747" t="s">
        <v>1523</v>
      </c>
      <c r="K747" t="s">
        <v>52</v>
      </c>
      <c r="L747" s="3">
        <f t="shared" si="22"/>
        <v>37206</v>
      </c>
      <c r="M747" s="3">
        <f t="shared" si="23"/>
        <v>63.6</v>
      </c>
    </row>
    <row r="748" spans="1:13" x14ac:dyDescent="0.35">
      <c r="A748" t="s">
        <v>26</v>
      </c>
      <c r="B748" t="s">
        <v>20</v>
      </c>
      <c r="C748" t="s">
        <v>13</v>
      </c>
      <c r="D748" t="s">
        <v>22</v>
      </c>
      <c r="E748">
        <v>30</v>
      </c>
      <c r="F748" s="4">
        <v>1915</v>
      </c>
      <c r="G748" s="9" t="s">
        <v>1524</v>
      </c>
      <c r="H748" s="1">
        <v>45428</v>
      </c>
      <c r="I748" t="s">
        <v>17</v>
      </c>
      <c r="J748" t="s">
        <v>1525</v>
      </c>
      <c r="K748" t="s">
        <v>52</v>
      </c>
      <c r="L748" s="3">
        <f t="shared" si="22"/>
        <v>6442</v>
      </c>
      <c r="M748" s="3">
        <f t="shared" si="23"/>
        <v>3.3639686684073107</v>
      </c>
    </row>
    <row r="749" spans="1:13" x14ac:dyDescent="0.35">
      <c r="A749" t="s">
        <v>11</v>
      </c>
      <c r="B749" t="s">
        <v>12</v>
      </c>
      <c r="C749" t="s">
        <v>21</v>
      </c>
      <c r="D749" t="s">
        <v>89</v>
      </c>
      <c r="E749" t="s">
        <v>23</v>
      </c>
      <c r="F749" s="4">
        <v>1228</v>
      </c>
      <c r="G749" s="9" t="s">
        <v>1526</v>
      </c>
      <c r="H749" s="1">
        <v>45424</v>
      </c>
      <c r="I749" t="s">
        <v>45</v>
      </c>
      <c r="J749" t="s">
        <v>1527</v>
      </c>
      <c r="K749" t="s">
        <v>38</v>
      </c>
      <c r="L749" s="3">
        <f t="shared" si="22"/>
        <v>47317</v>
      </c>
      <c r="M749" s="3">
        <f t="shared" si="23"/>
        <v>38.531758957654723</v>
      </c>
    </row>
    <row r="750" spans="1:13" x14ac:dyDescent="0.35">
      <c r="A750" t="s">
        <v>86</v>
      </c>
      <c r="B750" t="s">
        <v>20</v>
      </c>
      <c r="C750" t="s">
        <v>33</v>
      </c>
      <c r="D750" t="s">
        <v>34</v>
      </c>
      <c r="E750">
        <v>60</v>
      </c>
      <c r="F750" s="4">
        <v>728</v>
      </c>
      <c r="G750" s="9" t="s">
        <v>1528</v>
      </c>
      <c r="H750" s="1">
        <v>45481</v>
      </c>
      <c r="I750" t="s">
        <v>48</v>
      </c>
      <c r="J750" t="s">
        <v>1529</v>
      </c>
      <c r="K750" t="s">
        <v>52</v>
      </c>
      <c r="L750" s="3">
        <f t="shared" si="22"/>
        <v>17927</v>
      </c>
      <c r="M750" s="3">
        <f t="shared" si="23"/>
        <v>24.625</v>
      </c>
    </row>
    <row r="751" spans="1:13" x14ac:dyDescent="0.35">
      <c r="A751" t="s">
        <v>39</v>
      </c>
      <c r="B751" t="s">
        <v>20</v>
      </c>
      <c r="C751" t="s">
        <v>33</v>
      </c>
      <c r="D751" t="s">
        <v>28</v>
      </c>
      <c r="E751" t="s">
        <v>23</v>
      </c>
      <c r="F751" s="4">
        <v>938</v>
      </c>
      <c r="G751" s="9" t="s">
        <v>1530</v>
      </c>
      <c r="H751" s="1">
        <v>45280</v>
      </c>
      <c r="I751" t="s">
        <v>45</v>
      </c>
      <c r="J751" t="s">
        <v>1531</v>
      </c>
      <c r="K751" t="s">
        <v>32</v>
      </c>
      <c r="L751" s="3">
        <f t="shared" si="22"/>
        <v>49452</v>
      </c>
      <c r="M751" s="3">
        <f t="shared" si="23"/>
        <v>52.720682302771856</v>
      </c>
    </row>
    <row r="752" spans="1:13" x14ac:dyDescent="0.35">
      <c r="A752" t="s">
        <v>11</v>
      </c>
      <c r="B752" t="s">
        <v>12</v>
      </c>
      <c r="C752" t="s">
        <v>33</v>
      </c>
      <c r="D752" t="s">
        <v>14</v>
      </c>
      <c r="E752" t="s">
        <v>15</v>
      </c>
      <c r="F752" s="4">
        <v>1140</v>
      </c>
      <c r="G752" s="9" t="s">
        <v>1532</v>
      </c>
      <c r="H752" s="1">
        <v>45170</v>
      </c>
      <c r="I752" t="s">
        <v>48</v>
      </c>
      <c r="J752" t="s">
        <v>1533</v>
      </c>
      <c r="K752" t="s">
        <v>32</v>
      </c>
      <c r="L752" s="3">
        <f t="shared" si="22"/>
        <v>37493</v>
      </c>
      <c r="M752" s="3">
        <f t="shared" si="23"/>
        <v>32.888596491228071</v>
      </c>
    </row>
    <row r="753" spans="1:13" x14ac:dyDescent="0.35">
      <c r="A753" t="s">
        <v>86</v>
      </c>
      <c r="B753" t="s">
        <v>40</v>
      </c>
      <c r="C753" t="s">
        <v>21</v>
      </c>
      <c r="D753" t="s">
        <v>89</v>
      </c>
      <c r="E753" t="s">
        <v>43</v>
      </c>
      <c r="F753" s="4">
        <v>493</v>
      </c>
      <c r="G753" s="9" t="s">
        <v>1534</v>
      </c>
      <c r="H753" s="1">
        <v>45190</v>
      </c>
      <c r="I753" t="s">
        <v>45</v>
      </c>
      <c r="J753" t="s">
        <v>1535</v>
      </c>
      <c r="K753" t="s">
        <v>32</v>
      </c>
      <c r="L753" s="3">
        <f t="shared" si="22"/>
        <v>37610</v>
      </c>
      <c r="M753" s="3">
        <f t="shared" si="23"/>
        <v>76.288032454361058</v>
      </c>
    </row>
    <row r="754" spans="1:13" x14ac:dyDescent="0.35">
      <c r="A754" t="s">
        <v>86</v>
      </c>
      <c r="B754" t="s">
        <v>59</v>
      </c>
      <c r="C754" t="s">
        <v>77</v>
      </c>
      <c r="D754" t="s">
        <v>89</v>
      </c>
      <c r="E754" t="s">
        <v>43</v>
      </c>
      <c r="F754" s="4">
        <v>1358</v>
      </c>
      <c r="G754" s="9" t="s">
        <v>1536</v>
      </c>
      <c r="H754" s="1">
        <v>45482</v>
      </c>
      <c r="I754" t="s">
        <v>45</v>
      </c>
      <c r="J754" t="s">
        <v>1537</v>
      </c>
      <c r="K754" t="s">
        <v>19</v>
      </c>
      <c r="L754" s="3">
        <f t="shared" si="22"/>
        <v>3735</v>
      </c>
      <c r="M754" s="3">
        <f t="shared" si="23"/>
        <v>2.7503681885125184</v>
      </c>
    </row>
    <row r="755" spans="1:13" x14ac:dyDescent="0.35">
      <c r="A755" t="s">
        <v>53</v>
      </c>
      <c r="B755" t="s">
        <v>62</v>
      </c>
      <c r="C755" t="s">
        <v>21</v>
      </c>
      <c r="D755" t="s">
        <v>22</v>
      </c>
      <c r="E755" t="s">
        <v>15</v>
      </c>
      <c r="F755" s="4">
        <v>269</v>
      </c>
      <c r="G755" s="9" t="s">
        <v>1538</v>
      </c>
      <c r="H755" s="1">
        <v>45209</v>
      </c>
      <c r="I755" t="s">
        <v>36</v>
      </c>
      <c r="J755" t="s">
        <v>1539</v>
      </c>
      <c r="K755" t="s">
        <v>38</v>
      </c>
      <c r="L755" s="3">
        <f t="shared" si="22"/>
        <v>43198</v>
      </c>
      <c r="M755" s="3">
        <f t="shared" si="23"/>
        <v>160.58736059479554</v>
      </c>
    </row>
    <row r="756" spans="1:13" x14ac:dyDescent="0.35">
      <c r="A756" t="s">
        <v>11</v>
      </c>
      <c r="B756" t="s">
        <v>20</v>
      </c>
      <c r="C756" t="s">
        <v>21</v>
      </c>
      <c r="D756" t="s">
        <v>89</v>
      </c>
      <c r="E756">
        <v>30</v>
      </c>
      <c r="F756" s="4">
        <v>201</v>
      </c>
      <c r="G756" s="9" t="s">
        <v>1540</v>
      </c>
      <c r="H756" s="1">
        <v>45216</v>
      </c>
      <c r="I756" t="s">
        <v>36</v>
      </c>
      <c r="J756" t="s">
        <v>1541</v>
      </c>
      <c r="K756" t="s">
        <v>52</v>
      </c>
      <c r="L756" s="3">
        <f t="shared" si="22"/>
        <v>24265</v>
      </c>
      <c r="M756" s="3">
        <f t="shared" si="23"/>
        <v>120.72139303482587</v>
      </c>
    </row>
    <row r="757" spans="1:13" x14ac:dyDescent="0.35">
      <c r="A757" t="s">
        <v>26</v>
      </c>
      <c r="B757" t="s">
        <v>59</v>
      </c>
      <c r="C757" t="s">
        <v>21</v>
      </c>
      <c r="D757" t="s">
        <v>28</v>
      </c>
      <c r="E757">
        <v>30</v>
      </c>
      <c r="F757" s="4">
        <v>1918</v>
      </c>
      <c r="G757" s="9" t="s">
        <v>899</v>
      </c>
      <c r="H757" s="1">
        <v>45350</v>
      </c>
      <c r="I757" t="s">
        <v>36</v>
      </c>
      <c r="J757" t="s">
        <v>1542</v>
      </c>
      <c r="K757" t="s">
        <v>32</v>
      </c>
      <c r="L757" s="3">
        <f t="shared" si="22"/>
        <v>16223</v>
      </c>
      <c r="M757" s="3">
        <f t="shared" si="23"/>
        <v>8.4582898852971837</v>
      </c>
    </row>
    <row r="758" spans="1:13" x14ac:dyDescent="0.35">
      <c r="A758" t="s">
        <v>86</v>
      </c>
      <c r="B758" t="s">
        <v>12</v>
      </c>
      <c r="C758" t="s">
        <v>33</v>
      </c>
      <c r="D758" t="s">
        <v>14</v>
      </c>
      <c r="E758">
        <v>60</v>
      </c>
      <c r="F758" s="4">
        <v>1337</v>
      </c>
      <c r="G758" s="9" t="s">
        <v>1543</v>
      </c>
      <c r="H758" s="1">
        <v>45469</v>
      </c>
      <c r="I758" t="s">
        <v>45</v>
      </c>
      <c r="J758" t="s">
        <v>1544</v>
      </c>
      <c r="K758" t="s">
        <v>56</v>
      </c>
      <c r="L758" s="3">
        <f t="shared" si="22"/>
        <v>12997</v>
      </c>
      <c r="M758" s="3">
        <f t="shared" si="23"/>
        <v>9.7210172026925949</v>
      </c>
    </row>
    <row r="759" spans="1:13" x14ac:dyDescent="0.35">
      <c r="A759" t="s">
        <v>86</v>
      </c>
      <c r="B759" t="s">
        <v>20</v>
      </c>
      <c r="C759" t="s">
        <v>77</v>
      </c>
      <c r="D759" t="s">
        <v>14</v>
      </c>
      <c r="E759" t="s">
        <v>23</v>
      </c>
      <c r="F759" s="4">
        <v>483</v>
      </c>
      <c r="G759" s="9" t="s">
        <v>1545</v>
      </c>
      <c r="H759" s="1">
        <v>45138</v>
      </c>
      <c r="I759" t="s">
        <v>30</v>
      </c>
      <c r="J759" t="s">
        <v>1546</v>
      </c>
      <c r="K759" t="s">
        <v>56</v>
      </c>
      <c r="L759" s="3">
        <f t="shared" si="22"/>
        <v>25162</v>
      </c>
      <c r="M759" s="3">
        <f t="shared" si="23"/>
        <v>52.095238095238095</v>
      </c>
    </row>
    <row r="760" spans="1:13" x14ac:dyDescent="0.35">
      <c r="A760" t="s">
        <v>53</v>
      </c>
      <c r="B760" t="s">
        <v>59</v>
      </c>
      <c r="C760" t="s">
        <v>33</v>
      </c>
      <c r="D760" t="s">
        <v>22</v>
      </c>
      <c r="E760" t="s">
        <v>15</v>
      </c>
      <c r="F760" s="4">
        <v>105</v>
      </c>
      <c r="G760" s="9" t="s">
        <v>1547</v>
      </c>
      <c r="H760" s="1">
        <v>45490</v>
      </c>
      <c r="I760" t="s">
        <v>17</v>
      </c>
      <c r="J760" t="s">
        <v>1548</v>
      </c>
      <c r="K760" t="s">
        <v>56</v>
      </c>
      <c r="L760" s="3">
        <f t="shared" si="22"/>
        <v>31985</v>
      </c>
      <c r="M760" s="3">
        <f t="shared" si="23"/>
        <v>304.61904761904759</v>
      </c>
    </row>
    <row r="761" spans="1:13" x14ac:dyDescent="0.35">
      <c r="A761" t="s">
        <v>26</v>
      </c>
      <c r="B761" t="s">
        <v>40</v>
      </c>
      <c r="C761" t="s">
        <v>21</v>
      </c>
      <c r="D761" t="s">
        <v>28</v>
      </c>
      <c r="E761">
        <v>60</v>
      </c>
      <c r="F761" s="4">
        <v>1760</v>
      </c>
      <c r="G761" s="9" t="s">
        <v>1549</v>
      </c>
      <c r="H761" s="1">
        <v>45257</v>
      </c>
      <c r="I761" t="s">
        <v>45</v>
      </c>
      <c r="J761" t="s">
        <v>1550</v>
      </c>
      <c r="K761" t="s">
        <v>52</v>
      </c>
      <c r="L761" s="3">
        <f t="shared" si="22"/>
        <v>24924</v>
      </c>
      <c r="M761" s="3">
        <f t="shared" si="23"/>
        <v>14.161363636363637</v>
      </c>
    </row>
    <row r="762" spans="1:13" x14ac:dyDescent="0.35">
      <c r="A762" t="s">
        <v>53</v>
      </c>
      <c r="B762" t="s">
        <v>20</v>
      </c>
      <c r="C762" t="s">
        <v>21</v>
      </c>
      <c r="D762" t="s">
        <v>34</v>
      </c>
      <c r="E762">
        <v>60</v>
      </c>
      <c r="F762" s="4">
        <v>835</v>
      </c>
      <c r="G762" s="9" t="s">
        <v>1551</v>
      </c>
      <c r="H762" s="1">
        <v>45489</v>
      </c>
      <c r="I762" t="s">
        <v>48</v>
      </c>
      <c r="J762" t="s">
        <v>1552</v>
      </c>
      <c r="K762" t="s">
        <v>56</v>
      </c>
      <c r="L762" s="3">
        <f t="shared" si="22"/>
        <v>35184</v>
      </c>
      <c r="M762" s="3">
        <f t="shared" si="23"/>
        <v>42.136526946107786</v>
      </c>
    </row>
    <row r="763" spans="1:13" x14ac:dyDescent="0.35">
      <c r="A763" t="s">
        <v>11</v>
      </c>
      <c r="B763" t="s">
        <v>59</v>
      </c>
      <c r="C763" t="s">
        <v>33</v>
      </c>
      <c r="D763" t="s">
        <v>28</v>
      </c>
      <c r="E763" t="s">
        <v>43</v>
      </c>
      <c r="F763" s="4">
        <v>122</v>
      </c>
      <c r="G763" s="9" t="s">
        <v>1553</v>
      </c>
      <c r="H763" s="1">
        <v>45310</v>
      </c>
      <c r="I763" t="s">
        <v>45</v>
      </c>
      <c r="J763" t="s">
        <v>1554</v>
      </c>
      <c r="K763" t="s">
        <v>38</v>
      </c>
      <c r="L763" s="3">
        <f t="shared" si="22"/>
        <v>7349</v>
      </c>
      <c r="M763" s="3">
        <f t="shared" si="23"/>
        <v>60.23770491803279</v>
      </c>
    </row>
    <row r="764" spans="1:13" x14ac:dyDescent="0.35">
      <c r="A764" t="s">
        <v>39</v>
      </c>
      <c r="B764" t="s">
        <v>59</v>
      </c>
      <c r="C764" t="s">
        <v>77</v>
      </c>
      <c r="D764" t="s">
        <v>89</v>
      </c>
      <c r="E764">
        <v>30</v>
      </c>
      <c r="F764" s="4">
        <v>1415</v>
      </c>
      <c r="G764" s="9" t="s">
        <v>1555</v>
      </c>
      <c r="H764" s="1">
        <v>45417</v>
      </c>
      <c r="I764" t="s">
        <v>45</v>
      </c>
      <c r="J764" t="s">
        <v>1556</v>
      </c>
      <c r="K764" t="s">
        <v>38</v>
      </c>
      <c r="L764" s="3">
        <f t="shared" si="22"/>
        <v>41330</v>
      </c>
      <c r="M764" s="3">
        <f t="shared" si="23"/>
        <v>29.208480565371026</v>
      </c>
    </row>
    <row r="765" spans="1:13" x14ac:dyDescent="0.35">
      <c r="A765" t="s">
        <v>26</v>
      </c>
      <c r="B765" t="s">
        <v>12</v>
      </c>
      <c r="C765" t="s">
        <v>13</v>
      </c>
      <c r="D765" t="s">
        <v>14</v>
      </c>
      <c r="E765" t="s">
        <v>15</v>
      </c>
      <c r="F765" s="4">
        <v>1993</v>
      </c>
      <c r="G765" s="9" t="s">
        <v>1557</v>
      </c>
      <c r="H765" s="1">
        <v>45355</v>
      </c>
      <c r="I765" t="s">
        <v>30</v>
      </c>
      <c r="J765" t="s">
        <v>1558</v>
      </c>
      <c r="K765" t="s">
        <v>19</v>
      </c>
      <c r="L765" s="3">
        <f t="shared" si="22"/>
        <v>5212</v>
      </c>
      <c r="M765" s="3">
        <f t="shared" si="23"/>
        <v>2.6151530356246866</v>
      </c>
    </row>
    <row r="766" spans="1:13" x14ac:dyDescent="0.35">
      <c r="A766" t="s">
        <v>26</v>
      </c>
      <c r="B766" t="s">
        <v>20</v>
      </c>
      <c r="C766" t="s">
        <v>13</v>
      </c>
      <c r="D766" t="s">
        <v>22</v>
      </c>
      <c r="E766" t="s">
        <v>15</v>
      </c>
      <c r="F766" s="4">
        <v>958</v>
      </c>
      <c r="G766" s="9" t="s">
        <v>1559</v>
      </c>
      <c r="H766" s="1">
        <v>45415</v>
      </c>
      <c r="I766" t="s">
        <v>48</v>
      </c>
      <c r="J766" t="s">
        <v>1560</v>
      </c>
      <c r="K766" t="s">
        <v>19</v>
      </c>
      <c r="L766" s="3">
        <f t="shared" si="22"/>
        <v>15537</v>
      </c>
      <c r="M766" s="3">
        <f t="shared" si="23"/>
        <v>16.218162839248436</v>
      </c>
    </row>
    <row r="767" spans="1:13" x14ac:dyDescent="0.35">
      <c r="A767" t="s">
        <v>53</v>
      </c>
      <c r="B767" t="s">
        <v>12</v>
      </c>
      <c r="C767" t="s">
        <v>33</v>
      </c>
      <c r="D767" t="s">
        <v>28</v>
      </c>
      <c r="E767" t="s">
        <v>43</v>
      </c>
      <c r="F767" s="4">
        <v>1616</v>
      </c>
      <c r="G767" s="9" t="s">
        <v>1561</v>
      </c>
      <c r="H767" s="1">
        <v>45148</v>
      </c>
      <c r="I767" t="s">
        <v>48</v>
      </c>
      <c r="J767" t="s">
        <v>1562</v>
      </c>
      <c r="K767" t="s">
        <v>19</v>
      </c>
      <c r="L767" s="3">
        <f t="shared" si="22"/>
        <v>15777</v>
      </c>
      <c r="M767" s="3">
        <f t="shared" si="23"/>
        <v>9.7629950495049513</v>
      </c>
    </row>
    <row r="768" spans="1:13" x14ac:dyDescent="0.35">
      <c r="A768" t="s">
        <v>26</v>
      </c>
      <c r="B768" t="s">
        <v>12</v>
      </c>
      <c r="C768" t="s">
        <v>77</v>
      </c>
      <c r="D768" t="s">
        <v>14</v>
      </c>
      <c r="E768" t="s">
        <v>15</v>
      </c>
      <c r="F768" s="4">
        <v>922</v>
      </c>
      <c r="G768" s="9" t="s">
        <v>1563</v>
      </c>
      <c r="H768" s="1">
        <v>45315</v>
      </c>
      <c r="I768" t="s">
        <v>45</v>
      </c>
      <c r="J768" t="s">
        <v>1564</v>
      </c>
      <c r="K768" t="s">
        <v>38</v>
      </c>
      <c r="L768" s="3">
        <f t="shared" si="22"/>
        <v>32819</v>
      </c>
      <c r="M768" s="3">
        <f t="shared" si="23"/>
        <v>35.595444685466376</v>
      </c>
    </row>
    <row r="769" spans="1:13" x14ac:dyDescent="0.35">
      <c r="A769" t="s">
        <v>11</v>
      </c>
      <c r="B769" t="s">
        <v>12</v>
      </c>
      <c r="C769" t="s">
        <v>21</v>
      </c>
      <c r="D769" t="s">
        <v>34</v>
      </c>
      <c r="E769">
        <v>30</v>
      </c>
      <c r="F769" s="4">
        <v>580</v>
      </c>
      <c r="G769" s="9" t="s">
        <v>1565</v>
      </c>
      <c r="H769" s="1">
        <v>45466</v>
      </c>
      <c r="I769" t="s">
        <v>30</v>
      </c>
      <c r="J769" t="s">
        <v>1566</v>
      </c>
      <c r="K769" t="s">
        <v>32</v>
      </c>
      <c r="L769" s="3">
        <f t="shared" si="22"/>
        <v>41566</v>
      </c>
      <c r="M769" s="3">
        <f t="shared" si="23"/>
        <v>71.665517241379305</v>
      </c>
    </row>
    <row r="770" spans="1:13" x14ac:dyDescent="0.35">
      <c r="A770" t="s">
        <v>11</v>
      </c>
      <c r="B770" t="s">
        <v>20</v>
      </c>
      <c r="C770" t="s">
        <v>13</v>
      </c>
      <c r="D770" t="s">
        <v>89</v>
      </c>
      <c r="E770" t="s">
        <v>23</v>
      </c>
      <c r="F770" s="4">
        <v>561</v>
      </c>
      <c r="G770" s="9" t="s">
        <v>1567</v>
      </c>
      <c r="H770" s="1">
        <v>45424</v>
      </c>
      <c r="I770" t="s">
        <v>36</v>
      </c>
      <c r="J770" t="s">
        <v>1568</v>
      </c>
      <c r="K770" t="s">
        <v>56</v>
      </c>
      <c r="L770" s="3">
        <f t="shared" ref="L770:L833" si="24">VALUE(SUBSTITUTE(G770,"$",""))</f>
        <v>42268</v>
      </c>
      <c r="M770" s="3">
        <f t="shared" si="23"/>
        <v>75.344028520499108</v>
      </c>
    </row>
    <row r="771" spans="1:13" x14ac:dyDescent="0.35">
      <c r="A771" t="s">
        <v>39</v>
      </c>
      <c r="B771" t="s">
        <v>12</v>
      </c>
      <c r="C771" t="s">
        <v>27</v>
      </c>
      <c r="D771" t="s">
        <v>28</v>
      </c>
      <c r="E771">
        <v>30</v>
      </c>
      <c r="F771" s="4">
        <v>1709</v>
      </c>
      <c r="G771" s="9" t="s">
        <v>1569</v>
      </c>
      <c r="H771" s="1">
        <v>45416</v>
      </c>
      <c r="I771" t="s">
        <v>17</v>
      </c>
      <c r="J771" t="s">
        <v>1570</v>
      </c>
      <c r="K771" t="s">
        <v>38</v>
      </c>
      <c r="L771" s="3">
        <f t="shared" si="24"/>
        <v>28361</v>
      </c>
      <c r="M771" s="3">
        <f t="shared" ref="M771:M834" si="25">VALUE(SUBSTITUTE(SUBSTITUTE(G771,"$",""),",",""))/F771</f>
        <v>16.595084844938562</v>
      </c>
    </row>
    <row r="772" spans="1:13" x14ac:dyDescent="0.35">
      <c r="A772" t="s">
        <v>39</v>
      </c>
      <c r="B772" t="s">
        <v>59</v>
      </c>
      <c r="C772" t="s">
        <v>13</v>
      </c>
      <c r="D772" t="s">
        <v>22</v>
      </c>
      <c r="E772" t="s">
        <v>15</v>
      </c>
      <c r="F772" s="4">
        <v>1662</v>
      </c>
      <c r="G772" s="9" t="s">
        <v>1571</v>
      </c>
      <c r="H772" s="1">
        <v>45404</v>
      </c>
      <c r="I772" t="s">
        <v>45</v>
      </c>
      <c r="J772" t="s">
        <v>1572</v>
      </c>
      <c r="K772" t="s">
        <v>38</v>
      </c>
      <c r="L772" s="3">
        <f t="shared" si="24"/>
        <v>43524</v>
      </c>
      <c r="M772" s="3">
        <f t="shared" si="25"/>
        <v>26.187725631768952</v>
      </c>
    </row>
    <row r="773" spans="1:13" x14ac:dyDescent="0.35">
      <c r="A773" t="s">
        <v>86</v>
      </c>
      <c r="B773" t="s">
        <v>20</v>
      </c>
      <c r="C773" t="s">
        <v>77</v>
      </c>
      <c r="D773" t="s">
        <v>22</v>
      </c>
      <c r="E773">
        <v>30</v>
      </c>
      <c r="F773" s="4">
        <v>643</v>
      </c>
      <c r="G773" s="9" t="s">
        <v>1573</v>
      </c>
      <c r="H773" s="1">
        <v>45237</v>
      </c>
      <c r="I773" t="s">
        <v>17</v>
      </c>
      <c r="J773" t="s">
        <v>1574</v>
      </c>
      <c r="K773" t="s">
        <v>32</v>
      </c>
      <c r="L773" s="3">
        <f t="shared" si="24"/>
        <v>42567</v>
      </c>
      <c r="M773" s="3">
        <f t="shared" si="25"/>
        <v>66.200622083981344</v>
      </c>
    </row>
    <row r="774" spans="1:13" x14ac:dyDescent="0.35">
      <c r="A774" t="s">
        <v>53</v>
      </c>
      <c r="B774" t="s">
        <v>20</v>
      </c>
      <c r="C774" t="s">
        <v>27</v>
      </c>
      <c r="D774" t="s">
        <v>14</v>
      </c>
      <c r="E774" t="s">
        <v>43</v>
      </c>
      <c r="F774" s="4">
        <v>1618</v>
      </c>
      <c r="G774" s="9" t="s">
        <v>1575</v>
      </c>
      <c r="H774" s="1">
        <v>45478</v>
      </c>
      <c r="I774" t="s">
        <v>48</v>
      </c>
      <c r="J774" t="s">
        <v>1576</v>
      </c>
      <c r="K774" t="s">
        <v>52</v>
      </c>
      <c r="L774" s="3">
        <f t="shared" si="24"/>
        <v>11577</v>
      </c>
      <c r="M774" s="3">
        <f t="shared" si="25"/>
        <v>7.1551297898640298</v>
      </c>
    </row>
    <row r="775" spans="1:13" x14ac:dyDescent="0.35">
      <c r="A775" t="s">
        <v>11</v>
      </c>
      <c r="B775" t="s">
        <v>12</v>
      </c>
      <c r="C775" t="s">
        <v>21</v>
      </c>
      <c r="D775" t="s">
        <v>22</v>
      </c>
      <c r="E775">
        <v>60</v>
      </c>
      <c r="F775" s="4">
        <v>1616</v>
      </c>
      <c r="G775" s="9" t="s">
        <v>1577</v>
      </c>
      <c r="H775" s="1">
        <v>45488</v>
      </c>
      <c r="I775" t="s">
        <v>45</v>
      </c>
      <c r="J775" t="s">
        <v>1578</v>
      </c>
      <c r="K775" t="s">
        <v>19</v>
      </c>
      <c r="L775" s="3">
        <f t="shared" si="24"/>
        <v>21763</v>
      </c>
      <c r="M775" s="3">
        <f t="shared" si="25"/>
        <v>13.467202970297029</v>
      </c>
    </row>
    <row r="776" spans="1:13" x14ac:dyDescent="0.35">
      <c r="A776" t="s">
        <v>11</v>
      </c>
      <c r="B776" t="s">
        <v>20</v>
      </c>
      <c r="C776" t="s">
        <v>33</v>
      </c>
      <c r="D776" t="s">
        <v>28</v>
      </c>
      <c r="E776">
        <v>60</v>
      </c>
      <c r="F776" s="4">
        <v>1817</v>
      </c>
      <c r="G776" s="9" t="s">
        <v>1579</v>
      </c>
      <c r="H776" s="1">
        <v>45454</v>
      </c>
      <c r="I776" t="s">
        <v>48</v>
      </c>
      <c r="J776" t="s">
        <v>1580</v>
      </c>
      <c r="K776" t="s">
        <v>32</v>
      </c>
      <c r="L776" s="3">
        <f t="shared" si="24"/>
        <v>36872</v>
      </c>
      <c r="M776" s="3">
        <f t="shared" si="25"/>
        <v>20.292790313703907</v>
      </c>
    </row>
    <row r="777" spans="1:13" x14ac:dyDescent="0.35">
      <c r="A777" t="s">
        <v>86</v>
      </c>
      <c r="B777" t="s">
        <v>62</v>
      </c>
      <c r="C777" t="s">
        <v>77</v>
      </c>
      <c r="D777" t="s">
        <v>34</v>
      </c>
      <c r="E777" t="s">
        <v>23</v>
      </c>
      <c r="F777" s="4">
        <v>280</v>
      </c>
      <c r="G777" s="9" t="s">
        <v>1581</v>
      </c>
      <c r="H777" s="1">
        <v>45136</v>
      </c>
      <c r="I777" t="s">
        <v>48</v>
      </c>
      <c r="J777" t="s">
        <v>1582</v>
      </c>
      <c r="K777" t="s">
        <v>56</v>
      </c>
      <c r="L777" s="3">
        <f t="shared" si="24"/>
        <v>29505</v>
      </c>
      <c r="M777" s="3">
        <f t="shared" si="25"/>
        <v>105.375</v>
      </c>
    </row>
    <row r="778" spans="1:13" x14ac:dyDescent="0.35">
      <c r="A778" t="s">
        <v>39</v>
      </c>
      <c r="B778" t="s">
        <v>12</v>
      </c>
      <c r="C778" t="s">
        <v>21</v>
      </c>
      <c r="D778" t="s">
        <v>14</v>
      </c>
      <c r="E778" t="s">
        <v>43</v>
      </c>
      <c r="F778" s="4">
        <v>519</v>
      </c>
      <c r="G778" s="9" t="s">
        <v>1583</v>
      </c>
      <c r="H778" s="1">
        <v>45200</v>
      </c>
      <c r="I778" t="s">
        <v>48</v>
      </c>
      <c r="J778" t="s">
        <v>1584</v>
      </c>
      <c r="K778" t="s">
        <v>52</v>
      </c>
      <c r="L778" s="3">
        <f t="shared" si="24"/>
        <v>3961</v>
      </c>
      <c r="M778" s="3">
        <f t="shared" si="25"/>
        <v>7.6319845857418116</v>
      </c>
    </row>
    <row r="779" spans="1:13" x14ac:dyDescent="0.35">
      <c r="A779" t="s">
        <v>39</v>
      </c>
      <c r="B779" t="s">
        <v>12</v>
      </c>
      <c r="C779" t="s">
        <v>27</v>
      </c>
      <c r="D779" t="s">
        <v>89</v>
      </c>
      <c r="E779" t="s">
        <v>43</v>
      </c>
      <c r="F779" s="4">
        <v>1355</v>
      </c>
      <c r="G779" s="9" t="s">
        <v>1585</v>
      </c>
      <c r="H779" s="1">
        <v>45204</v>
      </c>
      <c r="I779" t="s">
        <v>30</v>
      </c>
      <c r="J779" t="s">
        <v>1586</v>
      </c>
      <c r="K779" t="s">
        <v>19</v>
      </c>
      <c r="L779" s="3">
        <f t="shared" si="24"/>
        <v>9822</v>
      </c>
      <c r="M779" s="3">
        <f t="shared" si="25"/>
        <v>7.2487084870848708</v>
      </c>
    </row>
    <row r="780" spans="1:13" x14ac:dyDescent="0.35">
      <c r="A780" t="s">
        <v>86</v>
      </c>
      <c r="B780" t="s">
        <v>40</v>
      </c>
      <c r="C780" t="s">
        <v>21</v>
      </c>
      <c r="D780" t="s">
        <v>22</v>
      </c>
      <c r="E780" t="s">
        <v>23</v>
      </c>
      <c r="F780" s="4">
        <v>1289</v>
      </c>
      <c r="G780" s="9" t="s">
        <v>778</v>
      </c>
      <c r="H780" s="1">
        <v>45501</v>
      </c>
      <c r="I780" t="s">
        <v>45</v>
      </c>
      <c r="J780" t="s">
        <v>1587</v>
      </c>
      <c r="K780" t="s">
        <v>32</v>
      </c>
      <c r="L780" s="3">
        <f t="shared" si="24"/>
        <v>40553</v>
      </c>
      <c r="M780" s="3">
        <f t="shared" si="25"/>
        <v>31.460822342901473</v>
      </c>
    </row>
    <row r="781" spans="1:13" x14ac:dyDescent="0.35">
      <c r="A781" t="s">
        <v>86</v>
      </c>
      <c r="B781" t="s">
        <v>59</v>
      </c>
      <c r="C781" t="s">
        <v>33</v>
      </c>
      <c r="D781" t="s">
        <v>34</v>
      </c>
      <c r="E781">
        <v>60</v>
      </c>
      <c r="F781" s="4">
        <v>1578</v>
      </c>
      <c r="G781" s="9" t="s">
        <v>1588</v>
      </c>
      <c r="H781" s="1">
        <v>45263</v>
      </c>
      <c r="I781" t="s">
        <v>36</v>
      </c>
      <c r="J781" t="s">
        <v>1589</v>
      </c>
      <c r="K781" t="s">
        <v>38</v>
      </c>
      <c r="L781" s="3">
        <f t="shared" si="24"/>
        <v>18160</v>
      </c>
      <c r="M781" s="3">
        <f t="shared" si="25"/>
        <v>11.508238276299112</v>
      </c>
    </row>
    <row r="782" spans="1:13" x14ac:dyDescent="0.35">
      <c r="A782" t="s">
        <v>86</v>
      </c>
      <c r="B782" t="s">
        <v>62</v>
      </c>
      <c r="C782" t="s">
        <v>21</v>
      </c>
      <c r="D782" t="s">
        <v>34</v>
      </c>
      <c r="E782" t="s">
        <v>23</v>
      </c>
      <c r="F782" s="4">
        <v>854</v>
      </c>
      <c r="G782" s="9" t="s">
        <v>1590</v>
      </c>
      <c r="H782" s="1">
        <v>45428</v>
      </c>
      <c r="I782" t="s">
        <v>48</v>
      </c>
      <c r="J782" t="s">
        <v>1591</v>
      </c>
      <c r="K782" t="s">
        <v>38</v>
      </c>
      <c r="L782" s="3">
        <f t="shared" si="24"/>
        <v>45168</v>
      </c>
      <c r="M782" s="3">
        <f t="shared" si="25"/>
        <v>52.889929742388759</v>
      </c>
    </row>
    <row r="783" spans="1:13" x14ac:dyDescent="0.35">
      <c r="A783" t="s">
        <v>39</v>
      </c>
      <c r="B783" t="s">
        <v>20</v>
      </c>
      <c r="C783" t="s">
        <v>33</v>
      </c>
      <c r="D783" t="s">
        <v>89</v>
      </c>
      <c r="E783">
        <v>30</v>
      </c>
      <c r="F783" s="4">
        <v>1875</v>
      </c>
      <c r="G783" s="9" t="s">
        <v>1592</v>
      </c>
      <c r="H783" s="1">
        <v>45210</v>
      </c>
      <c r="I783" t="s">
        <v>17</v>
      </c>
      <c r="J783" t="s">
        <v>1593</v>
      </c>
      <c r="K783" t="s">
        <v>19</v>
      </c>
      <c r="L783" s="3">
        <f t="shared" si="24"/>
        <v>19837</v>
      </c>
      <c r="M783" s="3">
        <f t="shared" si="25"/>
        <v>10.579733333333333</v>
      </c>
    </row>
    <row r="784" spans="1:13" x14ac:dyDescent="0.35">
      <c r="A784" t="s">
        <v>39</v>
      </c>
      <c r="B784" t="s">
        <v>62</v>
      </c>
      <c r="C784" t="s">
        <v>21</v>
      </c>
      <c r="D784" t="s">
        <v>89</v>
      </c>
      <c r="E784" t="s">
        <v>15</v>
      </c>
      <c r="F784" s="4">
        <v>1105</v>
      </c>
      <c r="G784" s="9" t="s">
        <v>1594</v>
      </c>
      <c r="H784" s="1">
        <v>45385</v>
      </c>
      <c r="I784" t="s">
        <v>17</v>
      </c>
      <c r="J784" t="s">
        <v>1595</v>
      </c>
      <c r="K784" t="s">
        <v>38</v>
      </c>
      <c r="L784" s="3">
        <f t="shared" si="24"/>
        <v>16306</v>
      </c>
      <c r="M784" s="3">
        <f t="shared" si="25"/>
        <v>14.756561085972852</v>
      </c>
    </row>
    <row r="785" spans="1:13" x14ac:dyDescent="0.35">
      <c r="A785" t="s">
        <v>11</v>
      </c>
      <c r="B785" t="s">
        <v>62</v>
      </c>
      <c r="C785" t="s">
        <v>21</v>
      </c>
      <c r="D785" t="s">
        <v>28</v>
      </c>
      <c r="E785" t="s">
        <v>23</v>
      </c>
      <c r="F785" s="4">
        <v>503</v>
      </c>
      <c r="G785" s="9" t="s">
        <v>1596</v>
      </c>
      <c r="H785" s="1">
        <v>45383</v>
      </c>
      <c r="I785" t="s">
        <v>17</v>
      </c>
      <c r="J785" t="s">
        <v>1597</v>
      </c>
      <c r="K785" t="s">
        <v>38</v>
      </c>
      <c r="L785" s="3">
        <f t="shared" si="24"/>
        <v>28974</v>
      </c>
      <c r="M785" s="3">
        <f t="shared" si="25"/>
        <v>57.602385685884691</v>
      </c>
    </row>
    <row r="786" spans="1:13" x14ac:dyDescent="0.35">
      <c r="A786" t="s">
        <v>26</v>
      </c>
      <c r="B786" t="s">
        <v>40</v>
      </c>
      <c r="C786" t="s">
        <v>77</v>
      </c>
      <c r="D786" t="s">
        <v>28</v>
      </c>
      <c r="E786">
        <v>60</v>
      </c>
      <c r="F786" s="4">
        <v>1354</v>
      </c>
      <c r="G786" s="9" t="s">
        <v>1598</v>
      </c>
      <c r="H786" s="1">
        <v>45464</v>
      </c>
      <c r="I786" t="s">
        <v>48</v>
      </c>
      <c r="J786" t="s">
        <v>1599</v>
      </c>
      <c r="K786" t="s">
        <v>19</v>
      </c>
      <c r="L786" s="3">
        <f t="shared" si="24"/>
        <v>28539</v>
      </c>
      <c r="M786" s="3">
        <f t="shared" si="25"/>
        <v>21.077548005908419</v>
      </c>
    </row>
    <row r="787" spans="1:13" x14ac:dyDescent="0.35">
      <c r="A787" t="s">
        <v>39</v>
      </c>
      <c r="B787" t="s">
        <v>40</v>
      </c>
      <c r="C787" t="s">
        <v>13</v>
      </c>
      <c r="D787" t="s">
        <v>34</v>
      </c>
      <c r="E787" t="s">
        <v>23</v>
      </c>
      <c r="F787" s="4">
        <v>1716</v>
      </c>
      <c r="G787" s="9" t="s">
        <v>1600</v>
      </c>
      <c r="H787" s="1">
        <v>45383</v>
      </c>
      <c r="I787" t="s">
        <v>36</v>
      </c>
      <c r="J787" t="s">
        <v>1601</v>
      </c>
      <c r="K787" t="s">
        <v>56</v>
      </c>
      <c r="L787" s="3">
        <f t="shared" si="24"/>
        <v>40609</v>
      </c>
      <c r="M787" s="3">
        <f t="shared" si="25"/>
        <v>23.664918414918414</v>
      </c>
    </row>
    <row r="788" spans="1:13" x14ac:dyDescent="0.35">
      <c r="A788" t="s">
        <v>11</v>
      </c>
      <c r="B788" t="s">
        <v>40</v>
      </c>
      <c r="C788" t="s">
        <v>13</v>
      </c>
      <c r="D788" t="s">
        <v>89</v>
      </c>
      <c r="E788" t="s">
        <v>15</v>
      </c>
      <c r="F788" s="4">
        <v>1268</v>
      </c>
      <c r="G788" s="9" t="s">
        <v>1602</v>
      </c>
      <c r="H788" s="1">
        <v>45472</v>
      </c>
      <c r="I788" t="s">
        <v>48</v>
      </c>
      <c r="J788" t="s">
        <v>1603</v>
      </c>
      <c r="K788" t="s">
        <v>38</v>
      </c>
      <c r="L788" s="3">
        <f t="shared" si="24"/>
        <v>38392</v>
      </c>
      <c r="M788" s="3">
        <f t="shared" si="25"/>
        <v>30.277602523659304</v>
      </c>
    </row>
    <row r="789" spans="1:13" x14ac:dyDescent="0.35">
      <c r="A789" t="s">
        <v>11</v>
      </c>
      <c r="B789" t="s">
        <v>62</v>
      </c>
      <c r="C789" t="s">
        <v>13</v>
      </c>
      <c r="D789" t="s">
        <v>22</v>
      </c>
      <c r="E789">
        <v>60</v>
      </c>
      <c r="F789" s="4">
        <v>716</v>
      </c>
      <c r="G789" s="9" t="s">
        <v>1604</v>
      </c>
      <c r="H789" s="1">
        <v>45326</v>
      </c>
      <c r="I789" t="s">
        <v>17</v>
      </c>
      <c r="J789" t="s">
        <v>1605</v>
      </c>
      <c r="K789" t="s">
        <v>38</v>
      </c>
      <c r="L789" s="3">
        <f t="shared" si="24"/>
        <v>38994</v>
      </c>
      <c r="M789" s="3">
        <f t="shared" si="25"/>
        <v>54.460893854748605</v>
      </c>
    </row>
    <row r="790" spans="1:13" x14ac:dyDescent="0.35">
      <c r="A790" t="s">
        <v>26</v>
      </c>
      <c r="B790" t="s">
        <v>12</v>
      </c>
      <c r="C790" t="s">
        <v>13</v>
      </c>
      <c r="D790" t="s">
        <v>89</v>
      </c>
      <c r="E790" t="s">
        <v>15</v>
      </c>
      <c r="F790" s="4">
        <v>1467</v>
      </c>
      <c r="G790" s="9" t="s">
        <v>1606</v>
      </c>
      <c r="H790" s="1">
        <v>45468</v>
      </c>
      <c r="I790" t="s">
        <v>36</v>
      </c>
      <c r="J790" t="s">
        <v>1607</v>
      </c>
      <c r="K790" t="s">
        <v>52</v>
      </c>
      <c r="L790" s="3">
        <f t="shared" si="24"/>
        <v>18147</v>
      </c>
      <c r="M790" s="3">
        <f t="shared" si="25"/>
        <v>12.370143149284253</v>
      </c>
    </row>
    <row r="791" spans="1:13" x14ac:dyDescent="0.35">
      <c r="A791" t="s">
        <v>11</v>
      </c>
      <c r="B791" t="s">
        <v>20</v>
      </c>
      <c r="C791" t="s">
        <v>21</v>
      </c>
      <c r="D791" t="s">
        <v>89</v>
      </c>
      <c r="E791">
        <v>30</v>
      </c>
      <c r="F791" s="4">
        <v>501</v>
      </c>
      <c r="G791" s="9" t="s">
        <v>1608</v>
      </c>
      <c r="H791" s="1">
        <v>45231</v>
      </c>
      <c r="I791" t="s">
        <v>36</v>
      </c>
      <c r="J791" t="s">
        <v>1609</v>
      </c>
      <c r="K791" t="s">
        <v>56</v>
      </c>
      <c r="L791" s="3">
        <f t="shared" si="24"/>
        <v>8312</v>
      </c>
      <c r="M791" s="3">
        <f t="shared" si="25"/>
        <v>16.590818363273453</v>
      </c>
    </row>
    <row r="792" spans="1:13" x14ac:dyDescent="0.35">
      <c r="A792" t="s">
        <v>11</v>
      </c>
      <c r="B792" t="s">
        <v>40</v>
      </c>
      <c r="C792" t="s">
        <v>21</v>
      </c>
      <c r="D792" t="s">
        <v>89</v>
      </c>
      <c r="E792">
        <v>30</v>
      </c>
      <c r="F792" s="4">
        <v>1127</v>
      </c>
      <c r="G792" s="9" t="s">
        <v>1610</v>
      </c>
      <c r="H792" s="1">
        <v>45475</v>
      </c>
      <c r="I792" t="s">
        <v>48</v>
      </c>
      <c r="J792" t="s">
        <v>1611</v>
      </c>
      <c r="K792" t="s">
        <v>32</v>
      </c>
      <c r="L792" s="3">
        <f t="shared" si="24"/>
        <v>29324</v>
      </c>
      <c r="M792" s="3">
        <f t="shared" si="25"/>
        <v>26.019520851818989</v>
      </c>
    </row>
    <row r="793" spans="1:13" x14ac:dyDescent="0.35">
      <c r="A793" t="s">
        <v>26</v>
      </c>
      <c r="B793" t="s">
        <v>59</v>
      </c>
      <c r="C793" t="s">
        <v>77</v>
      </c>
      <c r="D793" t="s">
        <v>34</v>
      </c>
      <c r="E793" t="s">
        <v>43</v>
      </c>
      <c r="F793" s="4">
        <v>814</v>
      </c>
      <c r="G793" s="9" t="s">
        <v>1612</v>
      </c>
      <c r="H793" s="1">
        <v>45276</v>
      </c>
      <c r="I793" t="s">
        <v>36</v>
      </c>
      <c r="J793" t="s">
        <v>1613</v>
      </c>
      <c r="K793" t="s">
        <v>19</v>
      </c>
      <c r="L793" s="3">
        <f t="shared" si="24"/>
        <v>22816</v>
      </c>
      <c r="M793" s="3">
        <f t="shared" si="25"/>
        <v>28.029484029484028</v>
      </c>
    </row>
    <row r="794" spans="1:13" x14ac:dyDescent="0.35">
      <c r="A794" t="s">
        <v>86</v>
      </c>
      <c r="B794" t="s">
        <v>12</v>
      </c>
      <c r="C794" t="s">
        <v>21</v>
      </c>
      <c r="D794" t="s">
        <v>34</v>
      </c>
      <c r="E794" t="s">
        <v>43</v>
      </c>
      <c r="F794" s="4">
        <v>1056</v>
      </c>
      <c r="G794" s="9" t="s">
        <v>1614</v>
      </c>
      <c r="H794" s="1">
        <v>45206</v>
      </c>
      <c r="I794" t="s">
        <v>30</v>
      </c>
      <c r="J794" t="s">
        <v>1615</v>
      </c>
      <c r="K794" t="s">
        <v>32</v>
      </c>
      <c r="L794" s="3">
        <f t="shared" si="24"/>
        <v>4782</v>
      </c>
      <c r="M794" s="3">
        <f t="shared" si="25"/>
        <v>4.5284090909090908</v>
      </c>
    </row>
    <row r="795" spans="1:13" x14ac:dyDescent="0.35">
      <c r="A795" t="s">
        <v>86</v>
      </c>
      <c r="B795" t="s">
        <v>20</v>
      </c>
      <c r="C795" t="s">
        <v>33</v>
      </c>
      <c r="D795" t="s">
        <v>34</v>
      </c>
      <c r="E795" t="s">
        <v>15</v>
      </c>
      <c r="F795" s="4">
        <v>130</v>
      </c>
      <c r="G795" s="9" t="s">
        <v>1616</v>
      </c>
      <c r="H795" s="1">
        <v>45287</v>
      </c>
      <c r="I795" t="s">
        <v>30</v>
      </c>
      <c r="J795" t="s">
        <v>1617</v>
      </c>
      <c r="K795" t="s">
        <v>32</v>
      </c>
      <c r="L795" s="3">
        <f t="shared" si="24"/>
        <v>3639</v>
      </c>
      <c r="M795" s="3">
        <f t="shared" si="25"/>
        <v>27.992307692307691</v>
      </c>
    </row>
    <row r="796" spans="1:13" x14ac:dyDescent="0.35">
      <c r="A796" t="s">
        <v>86</v>
      </c>
      <c r="B796" t="s">
        <v>12</v>
      </c>
      <c r="C796" t="s">
        <v>13</v>
      </c>
      <c r="D796" t="s">
        <v>22</v>
      </c>
      <c r="E796" t="s">
        <v>15</v>
      </c>
      <c r="F796" s="4">
        <v>760</v>
      </c>
      <c r="G796" s="9" t="s">
        <v>1618</v>
      </c>
      <c r="H796" s="1">
        <v>45381</v>
      </c>
      <c r="I796" t="s">
        <v>36</v>
      </c>
      <c r="J796" t="s">
        <v>1619</v>
      </c>
      <c r="K796" t="s">
        <v>56</v>
      </c>
      <c r="L796" s="3">
        <f t="shared" si="24"/>
        <v>16495</v>
      </c>
      <c r="M796" s="3">
        <f t="shared" si="25"/>
        <v>21.703947368421051</v>
      </c>
    </row>
    <row r="797" spans="1:13" x14ac:dyDescent="0.35">
      <c r="A797" t="s">
        <v>26</v>
      </c>
      <c r="B797" t="s">
        <v>20</v>
      </c>
      <c r="C797" t="s">
        <v>13</v>
      </c>
      <c r="D797" t="s">
        <v>89</v>
      </c>
      <c r="E797" t="s">
        <v>43</v>
      </c>
      <c r="F797" s="4">
        <v>961</v>
      </c>
      <c r="G797" s="9" t="s">
        <v>1620</v>
      </c>
      <c r="H797" s="1">
        <v>45450</v>
      </c>
      <c r="I797" t="s">
        <v>30</v>
      </c>
      <c r="J797" t="s">
        <v>1621</v>
      </c>
      <c r="K797" t="s">
        <v>52</v>
      </c>
      <c r="L797" s="3">
        <f t="shared" si="24"/>
        <v>47213</v>
      </c>
      <c r="M797" s="3">
        <f t="shared" si="25"/>
        <v>49.12903225806452</v>
      </c>
    </row>
    <row r="798" spans="1:13" x14ac:dyDescent="0.35">
      <c r="A798" t="s">
        <v>86</v>
      </c>
      <c r="B798" t="s">
        <v>20</v>
      </c>
      <c r="C798" t="s">
        <v>21</v>
      </c>
      <c r="D798" t="s">
        <v>14</v>
      </c>
      <c r="E798" t="s">
        <v>43</v>
      </c>
      <c r="F798" s="4">
        <v>1410</v>
      </c>
      <c r="G798" s="9" t="s">
        <v>1622</v>
      </c>
      <c r="H798" s="1">
        <v>45230</v>
      </c>
      <c r="I798" t="s">
        <v>17</v>
      </c>
      <c r="J798" t="s">
        <v>1623</v>
      </c>
      <c r="K798" t="s">
        <v>38</v>
      </c>
      <c r="L798" s="3">
        <f t="shared" si="24"/>
        <v>27514</v>
      </c>
      <c r="M798" s="3">
        <f t="shared" si="25"/>
        <v>19.513475177304965</v>
      </c>
    </row>
    <row r="799" spans="1:13" x14ac:dyDescent="0.35">
      <c r="A799" t="s">
        <v>39</v>
      </c>
      <c r="B799" t="s">
        <v>20</v>
      </c>
      <c r="C799" t="s">
        <v>13</v>
      </c>
      <c r="D799" t="s">
        <v>28</v>
      </c>
      <c r="E799">
        <v>60</v>
      </c>
      <c r="F799" s="4">
        <v>1446</v>
      </c>
      <c r="G799" s="9" t="s">
        <v>1624</v>
      </c>
      <c r="H799" s="1">
        <v>45260</v>
      </c>
      <c r="I799" t="s">
        <v>45</v>
      </c>
      <c r="J799" t="s">
        <v>1625</v>
      </c>
      <c r="K799" t="s">
        <v>56</v>
      </c>
      <c r="L799" s="3">
        <f t="shared" si="24"/>
        <v>22233</v>
      </c>
      <c r="M799" s="3">
        <f t="shared" si="25"/>
        <v>15.375518672199171</v>
      </c>
    </row>
    <row r="800" spans="1:13" x14ac:dyDescent="0.35">
      <c r="A800" t="s">
        <v>11</v>
      </c>
      <c r="B800" t="s">
        <v>12</v>
      </c>
      <c r="C800" t="s">
        <v>77</v>
      </c>
      <c r="D800" t="s">
        <v>22</v>
      </c>
      <c r="E800">
        <v>30</v>
      </c>
      <c r="F800" s="4">
        <v>1694</v>
      </c>
      <c r="G800" s="9" t="s">
        <v>1626</v>
      </c>
      <c r="H800" s="1">
        <v>45303</v>
      </c>
      <c r="I800" t="s">
        <v>30</v>
      </c>
      <c r="J800" t="s">
        <v>1627</v>
      </c>
      <c r="K800" t="s">
        <v>32</v>
      </c>
      <c r="L800" s="3">
        <f t="shared" si="24"/>
        <v>17518</v>
      </c>
      <c r="M800" s="3">
        <f t="shared" si="25"/>
        <v>10.34120425029516</v>
      </c>
    </row>
    <row r="801" spans="1:13" x14ac:dyDescent="0.35">
      <c r="A801" t="s">
        <v>39</v>
      </c>
      <c r="B801" t="s">
        <v>59</v>
      </c>
      <c r="C801" t="s">
        <v>27</v>
      </c>
      <c r="D801" t="s">
        <v>34</v>
      </c>
      <c r="E801" t="s">
        <v>43</v>
      </c>
      <c r="F801" s="4">
        <v>1834</v>
      </c>
      <c r="G801" s="9" t="s">
        <v>1628</v>
      </c>
      <c r="H801" s="1">
        <v>45353</v>
      </c>
      <c r="I801" t="s">
        <v>17</v>
      </c>
      <c r="J801" t="s">
        <v>1629</v>
      </c>
      <c r="K801" t="s">
        <v>38</v>
      </c>
      <c r="L801" s="3">
        <f t="shared" si="24"/>
        <v>5964</v>
      </c>
      <c r="M801" s="3">
        <f t="shared" si="25"/>
        <v>3.2519083969465647</v>
      </c>
    </row>
    <row r="802" spans="1:13" x14ac:dyDescent="0.35">
      <c r="A802" t="s">
        <v>26</v>
      </c>
      <c r="B802" t="s">
        <v>40</v>
      </c>
      <c r="C802" t="s">
        <v>27</v>
      </c>
      <c r="D802" t="s">
        <v>89</v>
      </c>
      <c r="E802" t="s">
        <v>23</v>
      </c>
      <c r="F802" s="4">
        <v>737</v>
      </c>
      <c r="G802" s="9" t="s">
        <v>1630</v>
      </c>
      <c r="H802" s="1">
        <v>45477</v>
      </c>
      <c r="I802" t="s">
        <v>48</v>
      </c>
      <c r="J802" t="s">
        <v>1631</v>
      </c>
      <c r="K802" t="s">
        <v>32</v>
      </c>
      <c r="L802" s="3">
        <f t="shared" si="24"/>
        <v>33901</v>
      </c>
      <c r="M802" s="3">
        <f t="shared" si="25"/>
        <v>45.998643147896878</v>
      </c>
    </row>
    <row r="803" spans="1:13" x14ac:dyDescent="0.35">
      <c r="A803" t="s">
        <v>53</v>
      </c>
      <c r="B803" t="s">
        <v>40</v>
      </c>
      <c r="C803" t="s">
        <v>13</v>
      </c>
      <c r="D803" t="s">
        <v>22</v>
      </c>
      <c r="E803" t="s">
        <v>23</v>
      </c>
      <c r="F803" s="4">
        <v>1027</v>
      </c>
      <c r="G803" s="9" t="s">
        <v>1632</v>
      </c>
      <c r="H803" s="1">
        <v>45434</v>
      </c>
      <c r="I803" t="s">
        <v>45</v>
      </c>
      <c r="J803" t="s">
        <v>1633</v>
      </c>
      <c r="K803" t="s">
        <v>32</v>
      </c>
      <c r="L803" s="3">
        <f t="shared" si="24"/>
        <v>9819</v>
      </c>
      <c r="M803" s="3">
        <f t="shared" si="25"/>
        <v>9.5608568646543333</v>
      </c>
    </row>
    <row r="804" spans="1:13" x14ac:dyDescent="0.35">
      <c r="A804" t="s">
        <v>39</v>
      </c>
      <c r="B804" t="s">
        <v>12</v>
      </c>
      <c r="C804" t="s">
        <v>13</v>
      </c>
      <c r="D804" t="s">
        <v>22</v>
      </c>
      <c r="E804" t="s">
        <v>15</v>
      </c>
      <c r="F804" s="4">
        <v>1000</v>
      </c>
      <c r="G804" s="9" t="s">
        <v>1634</v>
      </c>
      <c r="H804" s="1">
        <v>45217</v>
      </c>
      <c r="I804" t="s">
        <v>17</v>
      </c>
      <c r="J804" t="s">
        <v>1635</v>
      </c>
      <c r="K804" t="s">
        <v>52</v>
      </c>
      <c r="L804" s="3">
        <f t="shared" si="24"/>
        <v>34947</v>
      </c>
      <c r="M804" s="3">
        <f t="shared" si="25"/>
        <v>34.947000000000003</v>
      </c>
    </row>
    <row r="805" spans="1:13" x14ac:dyDescent="0.35">
      <c r="A805" t="s">
        <v>11</v>
      </c>
      <c r="B805" t="s">
        <v>40</v>
      </c>
      <c r="C805" t="s">
        <v>27</v>
      </c>
      <c r="D805" t="s">
        <v>89</v>
      </c>
      <c r="E805">
        <v>60</v>
      </c>
      <c r="F805" s="4">
        <v>1732</v>
      </c>
      <c r="G805" s="9" t="s">
        <v>1636</v>
      </c>
      <c r="H805" s="1">
        <v>45458</v>
      </c>
      <c r="I805" t="s">
        <v>30</v>
      </c>
      <c r="J805" t="s">
        <v>1637</v>
      </c>
      <c r="K805" t="s">
        <v>19</v>
      </c>
      <c r="L805" s="3">
        <f t="shared" si="24"/>
        <v>43643</v>
      </c>
      <c r="M805" s="3">
        <f t="shared" si="25"/>
        <v>25.198036951501155</v>
      </c>
    </row>
    <row r="806" spans="1:13" x14ac:dyDescent="0.35">
      <c r="A806" t="s">
        <v>26</v>
      </c>
      <c r="B806" t="s">
        <v>62</v>
      </c>
      <c r="C806" t="s">
        <v>21</v>
      </c>
      <c r="D806" t="s">
        <v>89</v>
      </c>
      <c r="E806">
        <v>30</v>
      </c>
      <c r="F806" s="4">
        <v>1686</v>
      </c>
      <c r="G806" s="9" t="s">
        <v>1638</v>
      </c>
      <c r="H806" s="1">
        <v>45302</v>
      </c>
      <c r="I806" t="s">
        <v>45</v>
      </c>
      <c r="J806" t="s">
        <v>1639</v>
      </c>
      <c r="K806" t="s">
        <v>19</v>
      </c>
      <c r="L806" s="3">
        <f t="shared" si="24"/>
        <v>38320</v>
      </c>
      <c r="M806" s="3">
        <f t="shared" si="25"/>
        <v>22.728351126927638</v>
      </c>
    </row>
    <row r="807" spans="1:13" x14ac:dyDescent="0.35">
      <c r="A807" t="s">
        <v>39</v>
      </c>
      <c r="B807" t="s">
        <v>62</v>
      </c>
      <c r="C807" t="s">
        <v>13</v>
      </c>
      <c r="D807" t="s">
        <v>28</v>
      </c>
      <c r="E807" t="s">
        <v>43</v>
      </c>
      <c r="F807" s="4">
        <v>1880</v>
      </c>
      <c r="G807" s="9" t="s">
        <v>1640</v>
      </c>
      <c r="H807" s="1">
        <v>45299</v>
      </c>
      <c r="I807" t="s">
        <v>17</v>
      </c>
      <c r="J807" t="s">
        <v>1641</v>
      </c>
      <c r="K807" t="s">
        <v>56</v>
      </c>
      <c r="L807" s="3">
        <f t="shared" si="24"/>
        <v>13397</v>
      </c>
      <c r="M807" s="3">
        <f t="shared" si="25"/>
        <v>7.1260638297872338</v>
      </c>
    </row>
    <row r="808" spans="1:13" x14ac:dyDescent="0.35">
      <c r="A808" t="s">
        <v>39</v>
      </c>
      <c r="B808" t="s">
        <v>40</v>
      </c>
      <c r="C808" t="s">
        <v>21</v>
      </c>
      <c r="D808" t="s">
        <v>34</v>
      </c>
      <c r="E808" t="s">
        <v>23</v>
      </c>
      <c r="F808" s="4">
        <v>363</v>
      </c>
      <c r="G808" s="9" t="s">
        <v>1642</v>
      </c>
      <c r="H808" s="1">
        <v>45366</v>
      </c>
      <c r="I808" t="s">
        <v>36</v>
      </c>
      <c r="J808" t="s">
        <v>1643</v>
      </c>
      <c r="K808" t="s">
        <v>52</v>
      </c>
      <c r="L808" s="3">
        <f t="shared" si="24"/>
        <v>3071</v>
      </c>
      <c r="M808" s="3">
        <f t="shared" si="25"/>
        <v>8.4600550964187331</v>
      </c>
    </row>
    <row r="809" spans="1:13" x14ac:dyDescent="0.35">
      <c r="A809" t="s">
        <v>26</v>
      </c>
      <c r="B809" t="s">
        <v>12</v>
      </c>
      <c r="C809" t="s">
        <v>27</v>
      </c>
      <c r="D809" t="s">
        <v>34</v>
      </c>
      <c r="E809" t="s">
        <v>43</v>
      </c>
      <c r="F809" s="4">
        <v>152</v>
      </c>
      <c r="G809" s="9" t="s">
        <v>1644</v>
      </c>
      <c r="H809" s="1">
        <v>45350</v>
      </c>
      <c r="I809" t="s">
        <v>48</v>
      </c>
      <c r="J809" t="s">
        <v>1645</v>
      </c>
      <c r="K809" t="s">
        <v>32</v>
      </c>
      <c r="L809" s="3">
        <f t="shared" si="24"/>
        <v>27219</v>
      </c>
      <c r="M809" s="3">
        <f t="shared" si="25"/>
        <v>179.07236842105263</v>
      </c>
    </row>
    <row r="810" spans="1:13" x14ac:dyDescent="0.35">
      <c r="A810" t="s">
        <v>86</v>
      </c>
      <c r="B810" t="s">
        <v>20</v>
      </c>
      <c r="C810" t="s">
        <v>27</v>
      </c>
      <c r="D810" t="s">
        <v>28</v>
      </c>
      <c r="E810" t="s">
        <v>15</v>
      </c>
      <c r="F810" s="4">
        <v>1989</v>
      </c>
      <c r="G810" s="9" t="s">
        <v>1646</v>
      </c>
      <c r="H810" s="1">
        <v>45143</v>
      </c>
      <c r="I810" t="s">
        <v>45</v>
      </c>
      <c r="J810" t="s">
        <v>1647</v>
      </c>
      <c r="K810" t="s">
        <v>52</v>
      </c>
      <c r="L810" s="3">
        <f t="shared" si="24"/>
        <v>39898</v>
      </c>
      <c r="M810" s="3">
        <f t="shared" si="25"/>
        <v>20.059326294620412</v>
      </c>
    </row>
    <row r="811" spans="1:13" x14ac:dyDescent="0.35">
      <c r="A811" t="s">
        <v>39</v>
      </c>
      <c r="B811" t="s">
        <v>62</v>
      </c>
      <c r="C811" t="s">
        <v>21</v>
      </c>
      <c r="D811" t="s">
        <v>14</v>
      </c>
      <c r="E811">
        <v>30</v>
      </c>
      <c r="F811" s="4">
        <v>729</v>
      </c>
      <c r="G811" s="9" t="s">
        <v>1648</v>
      </c>
      <c r="H811" s="1">
        <v>45367</v>
      </c>
      <c r="I811" t="s">
        <v>48</v>
      </c>
      <c r="J811" t="s">
        <v>1649</v>
      </c>
      <c r="K811" t="s">
        <v>38</v>
      </c>
      <c r="L811" s="3">
        <f t="shared" si="24"/>
        <v>17817</v>
      </c>
      <c r="M811" s="3">
        <f t="shared" si="25"/>
        <v>24.440329218106996</v>
      </c>
    </row>
    <row r="812" spans="1:13" x14ac:dyDescent="0.35">
      <c r="A812" t="s">
        <v>26</v>
      </c>
      <c r="B812" t="s">
        <v>20</v>
      </c>
      <c r="C812" t="s">
        <v>33</v>
      </c>
      <c r="D812" t="s">
        <v>14</v>
      </c>
      <c r="E812" t="s">
        <v>15</v>
      </c>
      <c r="F812" s="4">
        <v>828</v>
      </c>
      <c r="G812" s="9" t="s">
        <v>1650</v>
      </c>
      <c r="H812" s="1">
        <v>45299</v>
      </c>
      <c r="I812" t="s">
        <v>48</v>
      </c>
      <c r="J812" t="s">
        <v>1651</v>
      </c>
      <c r="K812" t="s">
        <v>56</v>
      </c>
      <c r="L812" s="3">
        <f t="shared" si="24"/>
        <v>3572</v>
      </c>
      <c r="M812" s="3">
        <f t="shared" si="25"/>
        <v>4.3140096618357484</v>
      </c>
    </row>
    <row r="813" spans="1:13" x14ac:dyDescent="0.35">
      <c r="A813" t="s">
        <v>26</v>
      </c>
      <c r="B813" t="s">
        <v>62</v>
      </c>
      <c r="C813" t="s">
        <v>21</v>
      </c>
      <c r="D813" t="s">
        <v>34</v>
      </c>
      <c r="E813">
        <v>60</v>
      </c>
      <c r="F813" s="4">
        <v>984</v>
      </c>
      <c r="G813" s="9" t="s">
        <v>1652</v>
      </c>
      <c r="H813" s="1">
        <v>45138</v>
      </c>
      <c r="I813" t="s">
        <v>48</v>
      </c>
      <c r="J813" t="s">
        <v>1653</v>
      </c>
      <c r="K813" t="s">
        <v>52</v>
      </c>
      <c r="L813" s="3">
        <f t="shared" si="24"/>
        <v>43213</v>
      </c>
      <c r="M813" s="3">
        <f t="shared" si="25"/>
        <v>43.915650406504064</v>
      </c>
    </row>
    <row r="814" spans="1:13" x14ac:dyDescent="0.35">
      <c r="A814" t="s">
        <v>26</v>
      </c>
      <c r="B814" t="s">
        <v>62</v>
      </c>
      <c r="C814" t="s">
        <v>77</v>
      </c>
      <c r="D814" t="s">
        <v>34</v>
      </c>
      <c r="E814" t="s">
        <v>43</v>
      </c>
      <c r="F814" s="4">
        <v>1911</v>
      </c>
      <c r="G814" s="9" t="s">
        <v>1654</v>
      </c>
      <c r="H814" s="1">
        <v>45310</v>
      </c>
      <c r="I814" t="s">
        <v>36</v>
      </c>
      <c r="J814" t="s">
        <v>1655</v>
      </c>
      <c r="K814" t="s">
        <v>56</v>
      </c>
      <c r="L814" s="3">
        <f t="shared" si="24"/>
        <v>40843</v>
      </c>
      <c r="M814" s="3">
        <f t="shared" si="25"/>
        <v>21.372579801151229</v>
      </c>
    </row>
    <row r="815" spans="1:13" x14ac:dyDescent="0.35">
      <c r="A815" t="s">
        <v>26</v>
      </c>
      <c r="B815" t="s">
        <v>12</v>
      </c>
      <c r="C815" t="s">
        <v>21</v>
      </c>
      <c r="D815" t="s">
        <v>34</v>
      </c>
      <c r="E815">
        <v>30</v>
      </c>
      <c r="F815" s="4">
        <v>846</v>
      </c>
      <c r="G815" s="9" t="s">
        <v>1656</v>
      </c>
      <c r="H815" s="1">
        <v>45414</v>
      </c>
      <c r="I815" t="s">
        <v>36</v>
      </c>
      <c r="J815" t="s">
        <v>1657</v>
      </c>
      <c r="K815" t="s">
        <v>52</v>
      </c>
      <c r="L815" s="3">
        <f t="shared" si="24"/>
        <v>18094</v>
      </c>
      <c r="M815" s="3">
        <f t="shared" si="25"/>
        <v>21.387706855791961</v>
      </c>
    </row>
    <row r="816" spans="1:13" x14ac:dyDescent="0.35">
      <c r="A816" t="s">
        <v>86</v>
      </c>
      <c r="B816" t="s">
        <v>20</v>
      </c>
      <c r="C816" t="s">
        <v>33</v>
      </c>
      <c r="D816" t="s">
        <v>34</v>
      </c>
      <c r="E816" t="s">
        <v>23</v>
      </c>
      <c r="F816" s="4">
        <v>415</v>
      </c>
      <c r="G816" s="9" t="s">
        <v>1658</v>
      </c>
      <c r="H816" s="1">
        <v>45436</v>
      </c>
      <c r="I816" t="s">
        <v>30</v>
      </c>
      <c r="J816" t="s">
        <v>1659</v>
      </c>
      <c r="K816" t="s">
        <v>32</v>
      </c>
      <c r="L816" s="3">
        <f t="shared" si="24"/>
        <v>30785</v>
      </c>
      <c r="M816" s="3">
        <f t="shared" si="25"/>
        <v>74.180722891566262</v>
      </c>
    </row>
    <row r="817" spans="1:13" x14ac:dyDescent="0.35">
      <c r="A817" t="s">
        <v>86</v>
      </c>
      <c r="B817" t="s">
        <v>40</v>
      </c>
      <c r="C817" t="s">
        <v>21</v>
      </c>
      <c r="D817" t="s">
        <v>34</v>
      </c>
      <c r="E817" t="s">
        <v>23</v>
      </c>
      <c r="F817" s="4">
        <v>1507</v>
      </c>
      <c r="G817" s="9" t="s">
        <v>1660</v>
      </c>
      <c r="H817" s="1">
        <v>45324</v>
      </c>
      <c r="I817" t="s">
        <v>36</v>
      </c>
      <c r="J817" t="s">
        <v>1661</v>
      </c>
      <c r="K817" t="s">
        <v>19</v>
      </c>
      <c r="L817" s="3">
        <f t="shared" si="24"/>
        <v>32408</v>
      </c>
      <c r="M817" s="3">
        <f t="shared" si="25"/>
        <v>21.504976775049769</v>
      </c>
    </row>
    <row r="818" spans="1:13" x14ac:dyDescent="0.35">
      <c r="A818" t="s">
        <v>11</v>
      </c>
      <c r="B818" t="s">
        <v>40</v>
      </c>
      <c r="C818" t="s">
        <v>33</v>
      </c>
      <c r="D818" t="s">
        <v>22</v>
      </c>
      <c r="E818" t="s">
        <v>15</v>
      </c>
      <c r="F818" s="4">
        <v>889</v>
      </c>
      <c r="G818" s="9" t="s">
        <v>1662</v>
      </c>
      <c r="H818" s="1">
        <v>45418</v>
      </c>
      <c r="I818" t="s">
        <v>17</v>
      </c>
      <c r="J818" t="s">
        <v>1663</v>
      </c>
      <c r="K818" t="s">
        <v>19</v>
      </c>
      <c r="L818" s="3">
        <f t="shared" si="24"/>
        <v>4285</v>
      </c>
      <c r="M818" s="3">
        <f t="shared" si="25"/>
        <v>4.8200224971878516</v>
      </c>
    </row>
    <row r="819" spans="1:13" x14ac:dyDescent="0.35">
      <c r="A819" t="s">
        <v>53</v>
      </c>
      <c r="B819" t="s">
        <v>40</v>
      </c>
      <c r="C819" t="s">
        <v>13</v>
      </c>
      <c r="D819" t="s">
        <v>28</v>
      </c>
      <c r="E819">
        <v>30</v>
      </c>
      <c r="F819" s="4">
        <v>983</v>
      </c>
      <c r="G819" s="9" t="s">
        <v>1664</v>
      </c>
      <c r="H819" s="1">
        <v>45317</v>
      </c>
      <c r="I819" t="s">
        <v>17</v>
      </c>
      <c r="J819" t="s">
        <v>1665</v>
      </c>
      <c r="K819" t="s">
        <v>52</v>
      </c>
      <c r="L819" s="3">
        <f t="shared" si="24"/>
        <v>39307</v>
      </c>
      <c r="M819" s="3">
        <f t="shared" si="25"/>
        <v>39.986775178026448</v>
      </c>
    </row>
    <row r="820" spans="1:13" x14ac:dyDescent="0.35">
      <c r="A820" t="s">
        <v>26</v>
      </c>
      <c r="B820" t="s">
        <v>59</v>
      </c>
      <c r="C820" t="s">
        <v>77</v>
      </c>
      <c r="D820" t="s">
        <v>14</v>
      </c>
      <c r="E820">
        <v>60</v>
      </c>
      <c r="F820" s="4">
        <v>743</v>
      </c>
      <c r="G820" s="9" t="s">
        <v>1666</v>
      </c>
      <c r="H820" s="1">
        <v>45477</v>
      </c>
      <c r="I820" t="s">
        <v>48</v>
      </c>
      <c r="J820" t="s">
        <v>1667</v>
      </c>
      <c r="K820" t="s">
        <v>32</v>
      </c>
      <c r="L820" s="3">
        <f t="shared" si="24"/>
        <v>38388</v>
      </c>
      <c r="M820" s="3">
        <f t="shared" si="25"/>
        <v>51.666218034993271</v>
      </c>
    </row>
    <row r="821" spans="1:13" x14ac:dyDescent="0.35">
      <c r="A821" t="s">
        <v>86</v>
      </c>
      <c r="B821" t="s">
        <v>40</v>
      </c>
      <c r="C821" t="s">
        <v>27</v>
      </c>
      <c r="D821" t="s">
        <v>89</v>
      </c>
      <c r="E821">
        <v>30</v>
      </c>
      <c r="F821" s="4">
        <v>255</v>
      </c>
      <c r="G821" s="9" t="s">
        <v>1668</v>
      </c>
      <c r="H821" s="1">
        <v>45448</v>
      </c>
      <c r="I821" t="s">
        <v>17</v>
      </c>
      <c r="J821" t="s">
        <v>1064</v>
      </c>
      <c r="K821" t="s">
        <v>52</v>
      </c>
      <c r="L821" s="3">
        <f t="shared" si="24"/>
        <v>27581</v>
      </c>
      <c r="M821" s="3">
        <f t="shared" si="25"/>
        <v>108.16078431372549</v>
      </c>
    </row>
    <row r="822" spans="1:13" x14ac:dyDescent="0.35">
      <c r="A822" t="s">
        <v>86</v>
      </c>
      <c r="B822" t="s">
        <v>59</v>
      </c>
      <c r="C822" t="s">
        <v>77</v>
      </c>
      <c r="D822" t="s">
        <v>28</v>
      </c>
      <c r="E822">
        <v>30</v>
      </c>
      <c r="F822" s="4">
        <v>965</v>
      </c>
      <c r="G822" s="9" t="s">
        <v>1669</v>
      </c>
      <c r="H822" s="1">
        <v>45168</v>
      </c>
      <c r="I822" t="s">
        <v>36</v>
      </c>
      <c r="J822" t="s">
        <v>1670</v>
      </c>
      <c r="K822" t="s">
        <v>38</v>
      </c>
      <c r="L822" s="3">
        <f t="shared" si="24"/>
        <v>12117</v>
      </c>
      <c r="M822" s="3">
        <f t="shared" si="25"/>
        <v>12.556476683937824</v>
      </c>
    </row>
    <row r="823" spans="1:13" x14ac:dyDescent="0.35">
      <c r="A823" t="s">
        <v>26</v>
      </c>
      <c r="B823" t="s">
        <v>20</v>
      </c>
      <c r="C823" t="s">
        <v>27</v>
      </c>
      <c r="D823" t="s">
        <v>28</v>
      </c>
      <c r="E823" t="s">
        <v>43</v>
      </c>
      <c r="F823" s="4">
        <v>254</v>
      </c>
      <c r="G823" s="9" t="s">
        <v>1671</v>
      </c>
      <c r="H823" s="1">
        <v>45157</v>
      </c>
      <c r="I823" t="s">
        <v>48</v>
      </c>
      <c r="J823" t="s">
        <v>1672</v>
      </c>
      <c r="K823" t="s">
        <v>38</v>
      </c>
      <c r="L823" s="3">
        <f t="shared" si="24"/>
        <v>2928</v>
      </c>
      <c r="M823" s="3">
        <f t="shared" si="25"/>
        <v>11.527559055118111</v>
      </c>
    </row>
    <row r="824" spans="1:13" x14ac:dyDescent="0.35">
      <c r="A824" t="s">
        <v>26</v>
      </c>
      <c r="B824" t="s">
        <v>40</v>
      </c>
      <c r="C824" t="s">
        <v>33</v>
      </c>
      <c r="D824" t="s">
        <v>14</v>
      </c>
      <c r="E824">
        <v>60</v>
      </c>
      <c r="F824" s="4">
        <v>1006</v>
      </c>
      <c r="G824" s="9" t="s">
        <v>1673</v>
      </c>
      <c r="H824" s="1">
        <v>45266</v>
      </c>
      <c r="I824" t="s">
        <v>17</v>
      </c>
      <c r="J824" t="s">
        <v>1674</v>
      </c>
      <c r="K824" t="s">
        <v>38</v>
      </c>
      <c r="L824" s="3">
        <f t="shared" si="24"/>
        <v>35619</v>
      </c>
      <c r="M824" s="3">
        <f t="shared" si="25"/>
        <v>35.406560636182903</v>
      </c>
    </row>
    <row r="825" spans="1:13" x14ac:dyDescent="0.35">
      <c r="A825" t="s">
        <v>26</v>
      </c>
      <c r="B825" t="s">
        <v>20</v>
      </c>
      <c r="C825" t="s">
        <v>13</v>
      </c>
      <c r="D825" t="s">
        <v>89</v>
      </c>
      <c r="E825" t="s">
        <v>43</v>
      </c>
      <c r="F825" s="4">
        <v>578</v>
      </c>
      <c r="G825" s="9" t="s">
        <v>1675</v>
      </c>
      <c r="H825" s="1">
        <v>45335</v>
      </c>
      <c r="I825" t="s">
        <v>48</v>
      </c>
      <c r="J825" t="s">
        <v>1676</v>
      </c>
      <c r="K825" t="s">
        <v>19</v>
      </c>
      <c r="L825" s="3">
        <f t="shared" si="24"/>
        <v>21030</v>
      </c>
      <c r="M825" s="3">
        <f t="shared" si="25"/>
        <v>36.384083044982702</v>
      </c>
    </row>
    <row r="826" spans="1:13" x14ac:dyDescent="0.35">
      <c r="A826" t="s">
        <v>26</v>
      </c>
      <c r="B826" t="s">
        <v>12</v>
      </c>
      <c r="C826" t="s">
        <v>27</v>
      </c>
      <c r="D826" t="s">
        <v>14</v>
      </c>
      <c r="E826" t="s">
        <v>23</v>
      </c>
      <c r="F826" s="4">
        <v>1284</v>
      </c>
      <c r="G826" s="9" t="s">
        <v>1677</v>
      </c>
      <c r="H826" s="1">
        <v>45136</v>
      </c>
      <c r="I826" t="s">
        <v>48</v>
      </c>
      <c r="J826" t="s">
        <v>1678</v>
      </c>
      <c r="K826" t="s">
        <v>52</v>
      </c>
      <c r="L826" s="3">
        <f t="shared" si="24"/>
        <v>40997</v>
      </c>
      <c r="M826" s="3">
        <f t="shared" si="25"/>
        <v>31.929127725856699</v>
      </c>
    </row>
    <row r="827" spans="1:13" x14ac:dyDescent="0.35">
      <c r="A827" t="s">
        <v>39</v>
      </c>
      <c r="B827" t="s">
        <v>40</v>
      </c>
      <c r="C827" t="s">
        <v>27</v>
      </c>
      <c r="D827" t="s">
        <v>34</v>
      </c>
      <c r="E827" t="s">
        <v>23</v>
      </c>
      <c r="F827" s="4">
        <v>1832</v>
      </c>
      <c r="G827" s="9" t="s">
        <v>1679</v>
      </c>
      <c r="H827" s="1">
        <v>45484</v>
      </c>
      <c r="I827" t="s">
        <v>30</v>
      </c>
      <c r="J827" t="s">
        <v>1680</v>
      </c>
      <c r="K827" t="s">
        <v>56</v>
      </c>
      <c r="L827" s="3">
        <f t="shared" si="24"/>
        <v>22662</v>
      </c>
      <c r="M827" s="3">
        <f t="shared" si="25"/>
        <v>12.370087336244541</v>
      </c>
    </row>
    <row r="828" spans="1:13" x14ac:dyDescent="0.35">
      <c r="A828" t="s">
        <v>39</v>
      </c>
      <c r="B828" t="s">
        <v>62</v>
      </c>
      <c r="C828" t="s">
        <v>27</v>
      </c>
      <c r="D828" t="s">
        <v>89</v>
      </c>
      <c r="E828">
        <v>60</v>
      </c>
      <c r="F828" s="4">
        <v>698</v>
      </c>
      <c r="G828" s="9" t="s">
        <v>1681</v>
      </c>
      <c r="H828" s="1">
        <v>45168</v>
      </c>
      <c r="I828" t="s">
        <v>45</v>
      </c>
      <c r="J828" t="s">
        <v>1682</v>
      </c>
      <c r="K828" t="s">
        <v>38</v>
      </c>
      <c r="L828" s="3">
        <f t="shared" si="24"/>
        <v>42700</v>
      </c>
      <c r="M828" s="3">
        <f t="shared" si="25"/>
        <v>61.174785100286535</v>
      </c>
    </row>
    <row r="829" spans="1:13" x14ac:dyDescent="0.35">
      <c r="A829" t="s">
        <v>86</v>
      </c>
      <c r="B829" t="s">
        <v>12</v>
      </c>
      <c r="C829" t="s">
        <v>33</v>
      </c>
      <c r="D829" t="s">
        <v>28</v>
      </c>
      <c r="E829" t="s">
        <v>23</v>
      </c>
      <c r="F829" s="4">
        <v>174</v>
      </c>
      <c r="G829" s="9" t="s">
        <v>1683</v>
      </c>
      <c r="H829" s="1">
        <v>45177</v>
      </c>
      <c r="I829" t="s">
        <v>30</v>
      </c>
      <c r="J829" t="s">
        <v>1684</v>
      </c>
      <c r="K829" t="s">
        <v>32</v>
      </c>
      <c r="L829" s="3">
        <f t="shared" si="24"/>
        <v>28115</v>
      </c>
      <c r="M829" s="3">
        <f t="shared" si="25"/>
        <v>161.58045977011494</v>
      </c>
    </row>
    <row r="830" spans="1:13" x14ac:dyDescent="0.35">
      <c r="A830" t="s">
        <v>86</v>
      </c>
      <c r="B830" t="s">
        <v>62</v>
      </c>
      <c r="C830" t="s">
        <v>21</v>
      </c>
      <c r="D830" t="s">
        <v>89</v>
      </c>
      <c r="E830" t="s">
        <v>23</v>
      </c>
      <c r="F830" s="4">
        <v>247</v>
      </c>
      <c r="G830" s="9" t="s">
        <v>1685</v>
      </c>
      <c r="H830" s="1">
        <v>45412</v>
      </c>
      <c r="I830" t="s">
        <v>48</v>
      </c>
      <c r="J830" t="s">
        <v>1686</v>
      </c>
      <c r="K830" t="s">
        <v>38</v>
      </c>
      <c r="L830" s="3">
        <f t="shared" si="24"/>
        <v>2564</v>
      </c>
      <c r="M830" s="3">
        <f t="shared" si="25"/>
        <v>10.380566801619434</v>
      </c>
    </row>
    <row r="831" spans="1:13" x14ac:dyDescent="0.35">
      <c r="A831" t="s">
        <v>11</v>
      </c>
      <c r="B831" t="s">
        <v>40</v>
      </c>
      <c r="C831" t="s">
        <v>27</v>
      </c>
      <c r="D831" t="s">
        <v>22</v>
      </c>
      <c r="E831" t="s">
        <v>43</v>
      </c>
      <c r="F831" s="4">
        <v>1585</v>
      </c>
      <c r="G831" s="9" t="s">
        <v>1687</v>
      </c>
      <c r="H831" s="1">
        <v>45404</v>
      </c>
      <c r="I831" t="s">
        <v>45</v>
      </c>
      <c r="J831" t="s">
        <v>1688</v>
      </c>
      <c r="K831" t="s">
        <v>38</v>
      </c>
      <c r="L831" s="3">
        <f t="shared" si="24"/>
        <v>22796</v>
      </c>
      <c r="M831" s="3">
        <f t="shared" si="25"/>
        <v>14.382334384858044</v>
      </c>
    </row>
    <row r="832" spans="1:13" x14ac:dyDescent="0.35">
      <c r="A832" t="s">
        <v>26</v>
      </c>
      <c r="B832" t="s">
        <v>59</v>
      </c>
      <c r="C832" t="s">
        <v>13</v>
      </c>
      <c r="D832" t="s">
        <v>28</v>
      </c>
      <c r="E832" t="s">
        <v>15</v>
      </c>
      <c r="F832" s="4">
        <v>1212</v>
      </c>
      <c r="G832" s="9" t="s">
        <v>1689</v>
      </c>
      <c r="H832" s="1">
        <v>45327</v>
      </c>
      <c r="I832" t="s">
        <v>17</v>
      </c>
      <c r="J832" t="s">
        <v>1690</v>
      </c>
      <c r="K832" t="s">
        <v>56</v>
      </c>
      <c r="L832" s="3">
        <f t="shared" si="24"/>
        <v>30821</v>
      </c>
      <c r="M832" s="3">
        <f t="shared" si="25"/>
        <v>25.42986798679868</v>
      </c>
    </row>
    <row r="833" spans="1:13" x14ac:dyDescent="0.35">
      <c r="A833" t="s">
        <v>26</v>
      </c>
      <c r="B833" t="s">
        <v>59</v>
      </c>
      <c r="C833" t="s">
        <v>77</v>
      </c>
      <c r="D833" t="s">
        <v>14</v>
      </c>
      <c r="E833" t="s">
        <v>23</v>
      </c>
      <c r="F833" s="4">
        <v>1322</v>
      </c>
      <c r="G833" s="9" t="s">
        <v>1691</v>
      </c>
      <c r="H833" s="1">
        <v>45427</v>
      </c>
      <c r="I833" t="s">
        <v>17</v>
      </c>
      <c r="J833" t="s">
        <v>1692</v>
      </c>
      <c r="K833" t="s">
        <v>38</v>
      </c>
      <c r="L833" s="3">
        <f t="shared" si="24"/>
        <v>41761</v>
      </c>
      <c r="M833" s="3">
        <f t="shared" si="25"/>
        <v>31.589258698940998</v>
      </c>
    </row>
    <row r="834" spans="1:13" x14ac:dyDescent="0.35">
      <c r="A834" t="s">
        <v>86</v>
      </c>
      <c r="B834" t="s">
        <v>20</v>
      </c>
      <c r="C834" t="s">
        <v>21</v>
      </c>
      <c r="D834" t="s">
        <v>28</v>
      </c>
      <c r="E834">
        <v>60</v>
      </c>
      <c r="F834" s="4">
        <v>1258</v>
      </c>
      <c r="G834" s="9" t="s">
        <v>1693</v>
      </c>
      <c r="H834" s="1">
        <v>45168</v>
      </c>
      <c r="I834" t="s">
        <v>45</v>
      </c>
      <c r="J834" t="s">
        <v>1694</v>
      </c>
      <c r="K834" t="s">
        <v>32</v>
      </c>
      <c r="L834" s="3">
        <f t="shared" ref="L834:L897" si="26">VALUE(SUBSTITUTE(G834,"$",""))</f>
        <v>22547</v>
      </c>
      <c r="M834" s="3">
        <f t="shared" si="25"/>
        <v>17.922893481717011</v>
      </c>
    </row>
    <row r="835" spans="1:13" x14ac:dyDescent="0.35">
      <c r="A835" t="s">
        <v>26</v>
      </c>
      <c r="B835" t="s">
        <v>40</v>
      </c>
      <c r="C835" t="s">
        <v>21</v>
      </c>
      <c r="D835" t="s">
        <v>28</v>
      </c>
      <c r="E835" t="s">
        <v>43</v>
      </c>
      <c r="F835" s="4">
        <v>1589</v>
      </c>
      <c r="G835" s="9" t="s">
        <v>1695</v>
      </c>
      <c r="H835" s="1">
        <v>45254</v>
      </c>
      <c r="I835" t="s">
        <v>17</v>
      </c>
      <c r="J835" t="s">
        <v>1696</v>
      </c>
      <c r="K835" t="s">
        <v>32</v>
      </c>
      <c r="L835" s="3">
        <f t="shared" si="26"/>
        <v>28938</v>
      </c>
      <c r="M835" s="3">
        <f t="shared" ref="M835:M898" si="27">VALUE(SUBSTITUTE(SUBSTITUTE(G835,"$",""),",",""))/F835</f>
        <v>18.211453744493394</v>
      </c>
    </row>
    <row r="836" spans="1:13" x14ac:dyDescent="0.35">
      <c r="A836" t="s">
        <v>11</v>
      </c>
      <c r="B836" t="s">
        <v>40</v>
      </c>
      <c r="C836" t="s">
        <v>13</v>
      </c>
      <c r="D836" t="s">
        <v>22</v>
      </c>
      <c r="E836" t="s">
        <v>43</v>
      </c>
      <c r="F836" s="4">
        <v>908</v>
      </c>
      <c r="G836" s="9" t="s">
        <v>1697</v>
      </c>
      <c r="H836" s="1">
        <v>45254</v>
      </c>
      <c r="I836" t="s">
        <v>36</v>
      </c>
      <c r="J836" t="s">
        <v>1698</v>
      </c>
      <c r="K836" t="s">
        <v>32</v>
      </c>
      <c r="L836" s="3">
        <f t="shared" si="26"/>
        <v>44347</v>
      </c>
      <c r="M836" s="3">
        <f t="shared" si="27"/>
        <v>48.840308370044056</v>
      </c>
    </row>
    <row r="837" spans="1:13" x14ac:dyDescent="0.35">
      <c r="A837" t="s">
        <v>26</v>
      </c>
      <c r="B837" t="s">
        <v>59</v>
      </c>
      <c r="C837" t="s">
        <v>33</v>
      </c>
      <c r="D837" t="s">
        <v>14</v>
      </c>
      <c r="E837">
        <v>60</v>
      </c>
      <c r="F837" s="4">
        <v>888</v>
      </c>
      <c r="G837" s="9" t="s">
        <v>1699</v>
      </c>
      <c r="H837" s="1">
        <v>45295</v>
      </c>
      <c r="I837" t="s">
        <v>36</v>
      </c>
      <c r="J837" t="s">
        <v>1700</v>
      </c>
      <c r="K837" t="s">
        <v>38</v>
      </c>
      <c r="L837" s="3">
        <f t="shared" si="26"/>
        <v>22714</v>
      </c>
      <c r="M837" s="3">
        <f t="shared" si="27"/>
        <v>25.578828828828829</v>
      </c>
    </row>
    <row r="838" spans="1:13" x14ac:dyDescent="0.35">
      <c r="A838" t="s">
        <v>11</v>
      </c>
      <c r="B838" t="s">
        <v>59</v>
      </c>
      <c r="C838" t="s">
        <v>21</v>
      </c>
      <c r="D838" t="s">
        <v>89</v>
      </c>
      <c r="E838">
        <v>60</v>
      </c>
      <c r="F838" s="4">
        <v>1591</v>
      </c>
      <c r="G838" s="9" t="s">
        <v>1701</v>
      </c>
      <c r="H838" s="1">
        <v>45180</v>
      </c>
      <c r="I838" t="s">
        <v>36</v>
      </c>
      <c r="J838" t="s">
        <v>1702</v>
      </c>
      <c r="K838" t="s">
        <v>19</v>
      </c>
      <c r="L838" s="3">
        <f t="shared" si="26"/>
        <v>6484</v>
      </c>
      <c r="M838" s="3">
        <f t="shared" si="27"/>
        <v>4.075424261470773</v>
      </c>
    </row>
    <row r="839" spans="1:13" x14ac:dyDescent="0.35">
      <c r="A839" t="s">
        <v>11</v>
      </c>
      <c r="B839" t="s">
        <v>59</v>
      </c>
      <c r="C839" t="s">
        <v>77</v>
      </c>
      <c r="D839" t="s">
        <v>28</v>
      </c>
      <c r="E839" t="s">
        <v>15</v>
      </c>
      <c r="F839" s="4">
        <v>1266</v>
      </c>
      <c r="G839" s="9" t="s">
        <v>1703</v>
      </c>
      <c r="H839" s="1">
        <v>45265</v>
      </c>
      <c r="I839" t="s">
        <v>48</v>
      </c>
      <c r="J839" t="s">
        <v>1704</v>
      </c>
      <c r="K839" t="s">
        <v>19</v>
      </c>
      <c r="L839" s="3">
        <f t="shared" si="26"/>
        <v>27371</v>
      </c>
      <c r="M839" s="3">
        <f t="shared" si="27"/>
        <v>21.620063191153239</v>
      </c>
    </row>
    <row r="840" spans="1:13" x14ac:dyDescent="0.35">
      <c r="A840" t="s">
        <v>39</v>
      </c>
      <c r="B840" t="s">
        <v>40</v>
      </c>
      <c r="C840" t="s">
        <v>27</v>
      </c>
      <c r="D840" t="s">
        <v>34</v>
      </c>
      <c r="E840">
        <v>30</v>
      </c>
      <c r="F840" s="4">
        <v>1335</v>
      </c>
      <c r="G840" s="9" t="s">
        <v>1705</v>
      </c>
      <c r="H840" s="1">
        <v>45480</v>
      </c>
      <c r="I840" t="s">
        <v>45</v>
      </c>
      <c r="J840" t="s">
        <v>1706</v>
      </c>
      <c r="K840" t="s">
        <v>38</v>
      </c>
      <c r="L840" s="3">
        <f t="shared" si="26"/>
        <v>1534</v>
      </c>
      <c r="M840" s="3">
        <f t="shared" si="27"/>
        <v>1.149063670411985</v>
      </c>
    </row>
    <row r="841" spans="1:13" x14ac:dyDescent="0.35">
      <c r="A841" t="s">
        <v>86</v>
      </c>
      <c r="B841" t="s">
        <v>59</v>
      </c>
      <c r="C841" t="s">
        <v>13</v>
      </c>
      <c r="D841" t="s">
        <v>34</v>
      </c>
      <c r="E841">
        <v>30</v>
      </c>
      <c r="F841" s="4">
        <v>790</v>
      </c>
      <c r="G841" s="9" t="s">
        <v>1707</v>
      </c>
      <c r="H841" s="1">
        <v>45314</v>
      </c>
      <c r="I841" t="s">
        <v>45</v>
      </c>
      <c r="J841" t="s">
        <v>1708</v>
      </c>
      <c r="K841" t="s">
        <v>19</v>
      </c>
      <c r="L841" s="3">
        <f t="shared" si="26"/>
        <v>9353</v>
      </c>
      <c r="M841" s="3">
        <f t="shared" si="27"/>
        <v>11.839240506329114</v>
      </c>
    </row>
    <row r="842" spans="1:13" x14ac:dyDescent="0.35">
      <c r="A842" t="s">
        <v>39</v>
      </c>
      <c r="B842" t="s">
        <v>12</v>
      </c>
      <c r="C842" t="s">
        <v>13</v>
      </c>
      <c r="D842" t="s">
        <v>14</v>
      </c>
      <c r="E842" t="s">
        <v>43</v>
      </c>
      <c r="F842" s="4">
        <v>408</v>
      </c>
      <c r="G842" s="9" t="s">
        <v>1709</v>
      </c>
      <c r="H842" s="1">
        <v>45346</v>
      </c>
      <c r="I842" t="s">
        <v>17</v>
      </c>
      <c r="J842" t="s">
        <v>1710</v>
      </c>
      <c r="K842" t="s">
        <v>19</v>
      </c>
      <c r="L842" s="3">
        <f t="shared" si="26"/>
        <v>31302</v>
      </c>
      <c r="M842" s="3">
        <f t="shared" si="27"/>
        <v>76.720588235294116</v>
      </c>
    </row>
    <row r="843" spans="1:13" x14ac:dyDescent="0.35">
      <c r="A843" t="s">
        <v>53</v>
      </c>
      <c r="B843" t="s">
        <v>12</v>
      </c>
      <c r="C843" t="s">
        <v>33</v>
      </c>
      <c r="D843" t="s">
        <v>89</v>
      </c>
      <c r="E843" t="s">
        <v>15</v>
      </c>
      <c r="F843" s="4">
        <v>1613</v>
      </c>
      <c r="G843" s="9" t="s">
        <v>1711</v>
      </c>
      <c r="H843" s="1">
        <v>45254</v>
      </c>
      <c r="I843" t="s">
        <v>17</v>
      </c>
      <c r="J843" t="s">
        <v>1712</v>
      </c>
      <c r="K843" t="s">
        <v>19</v>
      </c>
      <c r="L843" s="3">
        <f t="shared" si="26"/>
        <v>49778</v>
      </c>
      <c r="M843" s="3">
        <f t="shared" si="27"/>
        <v>30.860508369497829</v>
      </c>
    </row>
    <row r="844" spans="1:13" x14ac:dyDescent="0.35">
      <c r="A844" t="s">
        <v>11</v>
      </c>
      <c r="B844" t="s">
        <v>40</v>
      </c>
      <c r="C844" t="s">
        <v>27</v>
      </c>
      <c r="D844" t="s">
        <v>22</v>
      </c>
      <c r="E844" t="s">
        <v>15</v>
      </c>
      <c r="F844" s="4">
        <v>1046</v>
      </c>
      <c r="G844" s="9" t="s">
        <v>1713</v>
      </c>
      <c r="H844" s="1">
        <v>45161</v>
      </c>
      <c r="I844" t="s">
        <v>17</v>
      </c>
      <c r="J844" t="s">
        <v>1714</v>
      </c>
      <c r="K844" t="s">
        <v>52</v>
      </c>
      <c r="L844" s="3">
        <f t="shared" si="26"/>
        <v>41599</v>
      </c>
      <c r="M844" s="3">
        <f t="shared" si="27"/>
        <v>39.769598470363292</v>
      </c>
    </row>
    <row r="845" spans="1:13" x14ac:dyDescent="0.35">
      <c r="A845" t="s">
        <v>53</v>
      </c>
      <c r="B845" t="s">
        <v>12</v>
      </c>
      <c r="C845" t="s">
        <v>77</v>
      </c>
      <c r="D845" t="s">
        <v>89</v>
      </c>
      <c r="E845">
        <v>60</v>
      </c>
      <c r="F845" s="4">
        <v>769</v>
      </c>
      <c r="G845" s="9" t="s">
        <v>1715</v>
      </c>
      <c r="H845" s="1">
        <v>45420</v>
      </c>
      <c r="I845" t="s">
        <v>36</v>
      </c>
      <c r="J845" t="s">
        <v>1716</v>
      </c>
      <c r="K845" t="s">
        <v>19</v>
      </c>
      <c r="L845" s="3">
        <f t="shared" si="26"/>
        <v>38634</v>
      </c>
      <c r="M845" s="3">
        <f t="shared" si="27"/>
        <v>50.239271781534462</v>
      </c>
    </row>
    <row r="846" spans="1:13" x14ac:dyDescent="0.35">
      <c r="A846" t="s">
        <v>86</v>
      </c>
      <c r="B846" t="s">
        <v>59</v>
      </c>
      <c r="C846" t="s">
        <v>13</v>
      </c>
      <c r="D846" t="s">
        <v>89</v>
      </c>
      <c r="E846">
        <v>30</v>
      </c>
      <c r="F846" s="4">
        <v>1661</v>
      </c>
      <c r="G846" s="9" t="s">
        <v>1717</v>
      </c>
      <c r="H846" s="1">
        <v>45292</v>
      </c>
      <c r="I846" t="s">
        <v>45</v>
      </c>
      <c r="J846" t="s">
        <v>1718</v>
      </c>
      <c r="K846" t="s">
        <v>32</v>
      </c>
      <c r="L846" s="3">
        <f t="shared" si="26"/>
        <v>40534</v>
      </c>
      <c r="M846" s="3">
        <f t="shared" si="27"/>
        <v>24.403371462974111</v>
      </c>
    </row>
    <row r="847" spans="1:13" x14ac:dyDescent="0.35">
      <c r="A847" t="s">
        <v>86</v>
      </c>
      <c r="B847" t="s">
        <v>62</v>
      </c>
      <c r="C847" t="s">
        <v>33</v>
      </c>
      <c r="D847" t="s">
        <v>28</v>
      </c>
      <c r="E847" t="s">
        <v>23</v>
      </c>
      <c r="F847" s="4">
        <v>1541</v>
      </c>
      <c r="G847" s="9" t="s">
        <v>1719</v>
      </c>
      <c r="H847" s="1">
        <v>45152</v>
      </c>
      <c r="I847" t="s">
        <v>17</v>
      </c>
      <c r="J847" t="s">
        <v>1720</v>
      </c>
      <c r="K847" t="s">
        <v>52</v>
      </c>
      <c r="L847" s="3">
        <f t="shared" si="26"/>
        <v>36377</v>
      </c>
      <c r="M847" s="3">
        <f t="shared" si="27"/>
        <v>23.606099935107075</v>
      </c>
    </row>
    <row r="848" spans="1:13" x14ac:dyDescent="0.35">
      <c r="A848" t="s">
        <v>39</v>
      </c>
      <c r="B848" t="s">
        <v>62</v>
      </c>
      <c r="C848" t="s">
        <v>33</v>
      </c>
      <c r="D848" t="s">
        <v>89</v>
      </c>
      <c r="E848" t="s">
        <v>15</v>
      </c>
      <c r="F848" s="4">
        <v>286</v>
      </c>
      <c r="G848" s="9" t="s">
        <v>1721</v>
      </c>
      <c r="H848" s="1">
        <v>45178</v>
      </c>
      <c r="I848" t="s">
        <v>45</v>
      </c>
      <c r="J848" t="s">
        <v>1722</v>
      </c>
      <c r="K848" t="s">
        <v>52</v>
      </c>
      <c r="L848" s="3">
        <f t="shared" si="26"/>
        <v>30863</v>
      </c>
      <c r="M848" s="3">
        <f t="shared" si="27"/>
        <v>107.91258741258741</v>
      </c>
    </row>
    <row r="849" spans="1:13" x14ac:dyDescent="0.35">
      <c r="A849" t="s">
        <v>39</v>
      </c>
      <c r="B849" t="s">
        <v>20</v>
      </c>
      <c r="C849" t="s">
        <v>21</v>
      </c>
      <c r="D849" t="s">
        <v>14</v>
      </c>
      <c r="E849" t="s">
        <v>23</v>
      </c>
      <c r="F849" s="4">
        <v>1432</v>
      </c>
      <c r="G849" s="9" t="s">
        <v>1723</v>
      </c>
      <c r="H849" s="1">
        <v>45464</v>
      </c>
      <c r="I849" t="s">
        <v>30</v>
      </c>
      <c r="J849" t="s">
        <v>1724</v>
      </c>
      <c r="K849" t="s">
        <v>56</v>
      </c>
      <c r="L849" s="3">
        <f t="shared" si="26"/>
        <v>43247</v>
      </c>
      <c r="M849" s="3">
        <f t="shared" si="27"/>
        <v>30.200418994413408</v>
      </c>
    </row>
    <row r="850" spans="1:13" x14ac:dyDescent="0.35">
      <c r="A850" t="s">
        <v>26</v>
      </c>
      <c r="B850" t="s">
        <v>40</v>
      </c>
      <c r="C850" t="s">
        <v>13</v>
      </c>
      <c r="D850" t="s">
        <v>22</v>
      </c>
      <c r="E850" t="s">
        <v>15</v>
      </c>
      <c r="F850" s="4">
        <v>249</v>
      </c>
      <c r="G850" s="9" t="s">
        <v>1725</v>
      </c>
      <c r="H850" s="1">
        <v>45189</v>
      </c>
      <c r="I850" t="s">
        <v>36</v>
      </c>
      <c r="J850" t="s">
        <v>1726</v>
      </c>
      <c r="K850" t="s">
        <v>32</v>
      </c>
      <c r="L850" s="3">
        <f t="shared" si="26"/>
        <v>21795</v>
      </c>
      <c r="M850" s="3">
        <f t="shared" si="27"/>
        <v>87.53012048192771</v>
      </c>
    </row>
    <row r="851" spans="1:13" x14ac:dyDescent="0.35">
      <c r="A851" t="s">
        <v>11</v>
      </c>
      <c r="B851" t="s">
        <v>12</v>
      </c>
      <c r="C851" t="s">
        <v>21</v>
      </c>
      <c r="D851" t="s">
        <v>34</v>
      </c>
      <c r="E851">
        <v>30</v>
      </c>
      <c r="F851" s="4">
        <v>1441</v>
      </c>
      <c r="G851" s="9" t="s">
        <v>1727</v>
      </c>
      <c r="H851" s="1">
        <v>45149</v>
      </c>
      <c r="I851" t="s">
        <v>30</v>
      </c>
      <c r="J851" t="s">
        <v>1728</v>
      </c>
      <c r="K851" t="s">
        <v>56</v>
      </c>
      <c r="L851" s="3">
        <f t="shared" si="26"/>
        <v>15841</v>
      </c>
      <c r="M851" s="3">
        <f t="shared" si="27"/>
        <v>10.993060374739764</v>
      </c>
    </row>
    <row r="852" spans="1:13" x14ac:dyDescent="0.35">
      <c r="A852" t="s">
        <v>11</v>
      </c>
      <c r="B852" t="s">
        <v>20</v>
      </c>
      <c r="C852" t="s">
        <v>77</v>
      </c>
      <c r="D852" t="s">
        <v>22</v>
      </c>
      <c r="E852">
        <v>30</v>
      </c>
      <c r="F852" s="4">
        <v>1951</v>
      </c>
      <c r="G852" s="9" t="s">
        <v>1729</v>
      </c>
      <c r="H852" s="1">
        <v>45445</v>
      </c>
      <c r="I852" t="s">
        <v>30</v>
      </c>
      <c r="J852" t="s">
        <v>1730</v>
      </c>
      <c r="K852" t="s">
        <v>32</v>
      </c>
      <c r="L852" s="3">
        <f t="shared" si="26"/>
        <v>18265</v>
      </c>
      <c r="M852" s="3">
        <f t="shared" si="27"/>
        <v>9.3618657098923634</v>
      </c>
    </row>
    <row r="853" spans="1:13" x14ac:dyDescent="0.35">
      <c r="A853" t="s">
        <v>11</v>
      </c>
      <c r="B853" t="s">
        <v>59</v>
      </c>
      <c r="C853" t="s">
        <v>21</v>
      </c>
      <c r="D853" t="s">
        <v>22</v>
      </c>
      <c r="E853" t="s">
        <v>23</v>
      </c>
      <c r="F853" s="4">
        <v>1017</v>
      </c>
      <c r="G853" s="9" t="s">
        <v>1731</v>
      </c>
      <c r="H853" s="1">
        <v>45475</v>
      </c>
      <c r="I853" t="s">
        <v>48</v>
      </c>
      <c r="J853" t="s">
        <v>1732</v>
      </c>
      <c r="K853" t="s">
        <v>32</v>
      </c>
      <c r="L853" s="3">
        <f t="shared" si="26"/>
        <v>10342</v>
      </c>
      <c r="M853" s="3">
        <f t="shared" si="27"/>
        <v>10.169124877089478</v>
      </c>
    </row>
    <row r="854" spans="1:13" x14ac:dyDescent="0.35">
      <c r="A854" t="s">
        <v>53</v>
      </c>
      <c r="B854" t="s">
        <v>12</v>
      </c>
      <c r="C854" t="s">
        <v>77</v>
      </c>
      <c r="D854" t="s">
        <v>89</v>
      </c>
      <c r="E854">
        <v>60</v>
      </c>
      <c r="F854" s="4">
        <v>1287</v>
      </c>
      <c r="G854" s="9" t="s">
        <v>1733</v>
      </c>
      <c r="H854" s="1">
        <v>45330</v>
      </c>
      <c r="I854" t="s">
        <v>48</v>
      </c>
      <c r="J854" t="s">
        <v>1734</v>
      </c>
      <c r="K854" t="s">
        <v>56</v>
      </c>
      <c r="L854" s="3">
        <f t="shared" si="26"/>
        <v>45058</v>
      </c>
      <c r="M854" s="3">
        <f t="shared" si="27"/>
        <v>35.01010101010101</v>
      </c>
    </row>
    <row r="855" spans="1:13" x14ac:dyDescent="0.35">
      <c r="A855" t="s">
        <v>11</v>
      </c>
      <c r="B855" t="s">
        <v>62</v>
      </c>
      <c r="C855" t="s">
        <v>13</v>
      </c>
      <c r="D855" t="s">
        <v>34</v>
      </c>
      <c r="E855" t="s">
        <v>23</v>
      </c>
      <c r="F855" s="4">
        <v>1236</v>
      </c>
      <c r="G855" s="9" t="s">
        <v>1735</v>
      </c>
      <c r="H855" s="1">
        <v>45475</v>
      </c>
      <c r="I855" t="s">
        <v>17</v>
      </c>
      <c r="J855" t="s">
        <v>1736</v>
      </c>
      <c r="K855" t="s">
        <v>56</v>
      </c>
      <c r="L855" s="3">
        <f t="shared" si="26"/>
        <v>48538</v>
      </c>
      <c r="M855" s="3">
        <f t="shared" si="27"/>
        <v>39.270226537216828</v>
      </c>
    </row>
    <row r="856" spans="1:13" x14ac:dyDescent="0.35">
      <c r="A856" t="s">
        <v>26</v>
      </c>
      <c r="B856" t="s">
        <v>59</v>
      </c>
      <c r="C856" t="s">
        <v>27</v>
      </c>
      <c r="D856" t="s">
        <v>34</v>
      </c>
      <c r="E856" t="s">
        <v>43</v>
      </c>
      <c r="F856" s="4">
        <v>1368</v>
      </c>
      <c r="G856" s="9" t="s">
        <v>1737</v>
      </c>
      <c r="H856" s="1">
        <v>45369</v>
      </c>
      <c r="I856" t="s">
        <v>48</v>
      </c>
      <c r="J856" t="s">
        <v>1738</v>
      </c>
      <c r="K856" t="s">
        <v>52</v>
      </c>
      <c r="L856" s="3">
        <f t="shared" si="26"/>
        <v>6205</v>
      </c>
      <c r="M856" s="3">
        <f t="shared" si="27"/>
        <v>4.5358187134502925</v>
      </c>
    </row>
    <row r="857" spans="1:13" x14ac:dyDescent="0.35">
      <c r="A857" t="s">
        <v>53</v>
      </c>
      <c r="B857" t="s">
        <v>40</v>
      </c>
      <c r="C857" t="s">
        <v>27</v>
      </c>
      <c r="D857" t="s">
        <v>14</v>
      </c>
      <c r="E857" t="s">
        <v>23</v>
      </c>
      <c r="F857" s="4">
        <v>936</v>
      </c>
      <c r="G857" s="9" t="s">
        <v>1739</v>
      </c>
      <c r="H857" s="1">
        <v>45375</v>
      </c>
      <c r="I857" t="s">
        <v>36</v>
      </c>
      <c r="J857" t="s">
        <v>1740</v>
      </c>
      <c r="K857" t="s">
        <v>38</v>
      </c>
      <c r="L857" s="3">
        <f t="shared" si="26"/>
        <v>10109</v>
      </c>
      <c r="M857" s="3">
        <f t="shared" si="27"/>
        <v>10.800213675213675</v>
      </c>
    </row>
    <row r="858" spans="1:13" x14ac:dyDescent="0.35">
      <c r="A858" t="s">
        <v>39</v>
      </c>
      <c r="B858" t="s">
        <v>40</v>
      </c>
      <c r="C858" t="s">
        <v>33</v>
      </c>
      <c r="D858" t="s">
        <v>22</v>
      </c>
      <c r="E858">
        <v>60</v>
      </c>
      <c r="F858" s="4">
        <v>676</v>
      </c>
      <c r="G858" s="9" t="s">
        <v>1741</v>
      </c>
      <c r="H858" s="1">
        <v>45284</v>
      </c>
      <c r="I858" t="s">
        <v>36</v>
      </c>
      <c r="J858" t="s">
        <v>1742</v>
      </c>
      <c r="K858" t="s">
        <v>19</v>
      </c>
      <c r="L858" s="3">
        <f t="shared" si="26"/>
        <v>37726</v>
      </c>
      <c r="M858" s="3">
        <f t="shared" si="27"/>
        <v>55.807692307692307</v>
      </c>
    </row>
    <row r="859" spans="1:13" x14ac:dyDescent="0.35">
      <c r="A859" t="s">
        <v>26</v>
      </c>
      <c r="B859" t="s">
        <v>59</v>
      </c>
      <c r="C859" t="s">
        <v>33</v>
      </c>
      <c r="D859" t="s">
        <v>14</v>
      </c>
      <c r="E859">
        <v>30</v>
      </c>
      <c r="F859" s="4">
        <v>338</v>
      </c>
      <c r="G859" s="9" t="s">
        <v>1743</v>
      </c>
      <c r="H859" s="1">
        <v>45177</v>
      </c>
      <c r="I859" t="s">
        <v>30</v>
      </c>
      <c r="J859" t="s">
        <v>1744</v>
      </c>
      <c r="K859" t="s">
        <v>56</v>
      </c>
      <c r="L859" s="3">
        <f t="shared" si="26"/>
        <v>11276</v>
      </c>
      <c r="M859" s="3">
        <f t="shared" si="27"/>
        <v>33.360946745562131</v>
      </c>
    </row>
    <row r="860" spans="1:13" x14ac:dyDescent="0.35">
      <c r="A860" t="s">
        <v>53</v>
      </c>
      <c r="B860" t="s">
        <v>12</v>
      </c>
      <c r="C860" t="s">
        <v>27</v>
      </c>
      <c r="D860" t="s">
        <v>22</v>
      </c>
      <c r="E860" t="s">
        <v>15</v>
      </c>
      <c r="F860" s="4">
        <v>1131</v>
      </c>
      <c r="G860" s="9" t="s">
        <v>1745</v>
      </c>
      <c r="H860" s="1">
        <v>45321</v>
      </c>
      <c r="I860" t="s">
        <v>36</v>
      </c>
      <c r="J860" t="s">
        <v>1746</v>
      </c>
      <c r="K860" t="s">
        <v>56</v>
      </c>
      <c r="L860" s="3">
        <f t="shared" si="26"/>
        <v>33794</v>
      </c>
      <c r="M860" s="3">
        <f t="shared" si="27"/>
        <v>29.879752431476568</v>
      </c>
    </row>
    <row r="861" spans="1:13" x14ac:dyDescent="0.35">
      <c r="A861" t="s">
        <v>11</v>
      </c>
      <c r="B861" t="s">
        <v>40</v>
      </c>
      <c r="C861" t="s">
        <v>21</v>
      </c>
      <c r="D861" t="s">
        <v>34</v>
      </c>
      <c r="E861" t="s">
        <v>23</v>
      </c>
      <c r="F861" s="4">
        <v>1415</v>
      </c>
      <c r="G861" s="9" t="s">
        <v>1747</v>
      </c>
      <c r="H861" s="1">
        <v>45136</v>
      </c>
      <c r="I861" t="s">
        <v>17</v>
      </c>
      <c r="J861" t="s">
        <v>1748</v>
      </c>
      <c r="K861" t="s">
        <v>38</v>
      </c>
      <c r="L861" s="3">
        <f t="shared" si="26"/>
        <v>40903</v>
      </c>
      <c r="M861" s="3">
        <f t="shared" si="27"/>
        <v>28.906713780918729</v>
      </c>
    </row>
    <row r="862" spans="1:13" x14ac:dyDescent="0.35">
      <c r="A862" t="s">
        <v>39</v>
      </c>
      <c r="B862" t="s">
        <v>59</v>
      </c>
      <c r="C862" t="s">
        <v>27</v>
      </c>
      <c r="D862" t="s">
        <v>89</v>
      </c>
      <c r="E862" t="s">
        <v>15</v>
      </c>
      <c r="F862" s="4">
        <v>1737</v>
      </c>
      <c r="G862" s="9" t="s">
        <v>1749</v>
      </c>
      <c r="H862" s="1">
        <v>45310</v>
      </c>
      <c r="I862" t="s">
        <v>48</v>
      </c>
      <c r="J862" t="s">
        <v>1750</v>
      </c>
      <c r="K862" t="s">
        <v>32</v>
      </c>
      <c r="L862" s="3">
        <f t="shared" si="26"/>
        <v>27260</v>
      </c>
      <c r="M862" s="3">
        <f t="shared" si="27"/>
        <v>15.693724812895798</v>
      </c>
    </row>
    <row r="863" spans="1:13" x14ac:dyDescent="0.35">
      <c r="A863" t="s">
        <v>26</v>
      </c>
      <c r="B863" t="s">
        <v>20</v>
      </c>
      <c r="C863" t="s">
        <v>77</v>
      </c>
      <c r="D863" t="s">
        <v>28</v>
      </c>
      <c r="E863" t="s">
        <v>23</v>
      </c>
      <c r="F863" s="4">
        <v>689</v>
      </c>
      <c r="G863" s="9" t="s">
        <v>1751</v>
      </c>
      <c r="H863" s="1">
        <v>45328</v>
      </c>
      <c r="I863" t="s">
        <v>30</v>
      </c>
      <c r="J863" t="s">
        <v>1752</v>
      </c>
      <c r="K863" t="s">
        <v>56</v>
      </c>
      <c r="L863" s="3">
        <f t="shared" si="26"/>
        <v>19199</v>
      </c>
      <c r="M863" s="3">
        <f t="shared" si="27"/>
        <v>27.865021770682148</v>
      </c>
    </row>
    <row r="864" spans="1:13" x14ac:dyDescent="0.35">
      <c r="A864" t="s">
        <v>86</v>
      </c>
      <c r="B864" t="s">
        <v>12</v>
      </c>
      <c r="C864" t="s">
        <v>13</v>
      </c>
      <c r="D864" t="s">
        <v>89</v>
      </c>
      <c r="E864">
        <v>30</v>
      </c>
      <c r="F864" s="4">
        <v>961</v>
      </c>
      <c r="G864" s="9" t="s">
        <v>1753</v>
      </c>
      <c r="H864" s="1">
        <v>45293</v>
      </c>
      <c r="I864" t="s">
        <v>45</v>
      </c>
      <c r="J864" t="s">
        <v>1754</v>
      </c>
      <c r="K864" t="s">
        <v>19</v>
      </c>
      <c r="L864" s="3">
        <f t="shared" si="26"/>
        <v>17111</v>
      </c>
      <c r="M864" s="3">
        <f t="shared" si="27"/>
        <v>17.805411030176899</v>
      </c>
    </row>
    <row r="865" spans="1:13" x14ac:dyDescent="0.35">
      <c r="A865" t="s">
        <v>26</v>
      </c>
      <c r="B865" t="s">
        <v>12</v>
      </c>
      <c r="C865" t="s">
        <v>13</v>
      </c>
      <c r="D865" t="s">
        <v>89</v>
      </c>
      <c r="E865" t="s">
        <v>23</v>
      </c>
      <c r="F865" s="4">
        <v>523</v>
      </c>
      <c r="G865" s="9" t="s">
        <v>1755</v>
      </c>
      <c r="H865" s="1">
        <v>45351</v>
      </c>
      <c r="I865" t="s">
        <v>30</v>
      </c>
      <c r="J865" t="s">
        <v>1756</v>
      </c>
      <c r="K865" t="s">
        <v>52</v>
      </c>
      <c r="L865" s="3">
        <f t="shared" si="26"/>
        <v>39012</v>
      </c>
      <c r="M865" s="3">
        <f t="shared" si="27"/>
        <v>74.592734225621413</v>
      </c>
    </row>
    <row r="866" spans="1:13" x14ac:dyDescent="0.35">
      <c r="A866" t="s">
        <v>39</v>
      </c>
      <c r="B866" t="s">
        <v>12</v>
      </c>
      <c r="C866" t="s">
        <v>21</v>
      </c>
      <c r="D866" t="s">
        <v>14</v>
      </c>
      <c r="E866" t="s">
        <v>23</v>
      </c>
      <c r="F866" s="4">
        <v>124</v>
      </c>
      <c r="G866" s="9" t="s">
        <v>1757</v>
      </c>
      <c r="H866" s="1">
        <v>45231</v>
      </c>
      <c r="I866" t="s">
        <v>48</v>
      </c>
      <c r="J866" t="s">
        <v>1758</v>
      </c>
      <c r="K866" t="s">
        <v>32</v>
      </c>
      <c r="L866" s="3">
        <f t="shared" si="26"/>
        <v>17741</v>
      </c>
      <c r="M866" s="3">
        <f t="shared" si="27"/>
        <v>143.07258064516128</v>
      </c>
    </row>
    <row r="867" spans="1:13" x14ac:dyDescent="0.35">
      <c r="A867" t="s">
        <v>11</v>
      </c>
      <c r="B867" t="s">
        <v>62</v>
      </c>
      <c r="C867" t="s">
        <v>33</v>
      </c>
      <c r="D867" t="s">
        <v>28</v>
      </c>
      <c r="E867" t="s">
        <v>23</v>
      </c>
      <c r="F867" s="4">
        <v>1579</v>
      </c>
      <c r="G867" s="9" t="s">
        <v>1759</v>
      </c>
      <c r="H867" s="1">
        <v>45209</v>
      </c>
      <c r="I867" t="s">
        <v>36</v>
      </c>
      <c r="J867" t="s">
        <v>1760</v>
      </c>
      <c r="K867" t="s">
        <v>52</v>
      </c>
      <c r="L867" s="3">
        <f t="shared" si="26"/>
        <v>29112</v>
      </c>
      <c r="M867" s="3">
        <f t="shared" si="27"/>
        <v>18.436985433818872</v>
      </c>
    </row>
    <row r="868" spans="1:13" x14ac:dyDescent="0.35">
      <c r="A868" t="s">
        <v>86</v>
      </c>
      <c r="B868" t="s">
        <v>40</v>
      </c>
      <c r="C868" t="s">
        <v>33</v>
      </c>
      <c r="D868" t="s">
        <v>34</v>
      </c>
      <c r="E868">
        <v>30</v>
      </c>
      <c r="F868" s="4">
        <v>465</v>
      </c>
      <c r="G868" s="9" t="s">
        <v>1761</v>
      </c>
      <c r="H868" s="1">
        <v>45361</v>
      </c>
      <c r="I868" t="s">
        <v>45</v>
      </c>
      <c r="J868" t="s">
        <v>1762</v>
      </c>
      <c r="K868" t="s">
        <v>38</v>
      </c>
      <c r="L868" s="3">
        <f t="shared" si="26"/>
        <v>47839</v>
      </c>
      <c r="M868" s="3">
        <f t="shared" si="27"/>
        <v>102.87956989247311</v>
      </c>
    </row>
    <row r="869" spans="1:13" x14ac:dyDescent="0.35">
      <c r="A869" t="s">
        <v>11</v>
      </c>
      <c r="B869" t="s">
        <v>40</v>
      </c>
      <c r="C869" t="s">
        <v>13</v>
      </c>
      <c r="D869" t="s">
        <v>22</v>
      </c>
      <c r="E869" t="s">
        <v>15</v>
      </c>
      <c r="F869" s="4">
        <v>106</v>
      </c>
      <c r="G869" s="9" t="s">
        <v>1763</v>
      </c>
      <c r="H869" s="1">
        <v>45412</v>
      </c>
      <c r="I869" t="s">
        <v>45</v>
      </c>
      <c r="J869" t="s">
        <v>1764</v>
      </c>
      <c r="K869" t="s">
        <v>19</v>
      </c>
      <c r="L869" s="3">
        <f t="shared" si="26"/>
        <v>16139</v>
      </c>
      <c r="M869" s="3">
        <f t="shared" si="27"/>
        <v>152.25471698113208</v>
      </c>
    </row>
    <row r="870" spans="1:13" x14ac:dyDescent="0.35">
      <c r="A870" t="s">
        <v>86</v>
      </c>
      <c r="B870" t="s">
        <v>12</v>
      </c>
      <c r="C870" t="s">
        <v>21</v>
      </c>
      <c r="D870" t="s">
        <v>34</v>
      </c>
      <c r="E870" t="s">
        <v>23</v>
      </c>
      <c r="F870" s="4">
        <v>129</v>
      </c>
      <c r="G870" s="9" t="s">
        <v>1765</v>
      </c>
      <c r="H870" s="1">
        <v>45272</v>
      </c>
      <c r="I870" t="s">
        <v>36</v>
      </c>
      <c r="J870" t="s">
        <v>1766</v>
      </c>
      <c r="K870" t="s">
        <v>38</v>
      </c>
      <c r="L870" s="3">
        <f t="shared" si="26"/>
        <v>33103</v>
      </c>
      <c r="M870" s="3">
        <f t="shared" si="27"/>
        <v>256.61240310077517</v>
      </c>
    </row>
    <row r="871" spans="1:13" x14ac:dyDescent="0.35">
      <c r="A871" t="s">
        <v>39</v>
      </c>
      <c r="B871" t="s">
        <v>40</v>
      </c>
      <c r="C871" t="s">
        <v>33</v>
      </c>
      <c r="D871" t="s">
        <v>14</v>
      </c>
      <c r="E871">
        <v>30</v>
      </c>
      <c r="F871" s="4">
        <v>179</v>
      </c>
      <c r="G871" s="9" t="s">
        <v>1767</v>
      </c>
      <c r="H871" s="1">
        <v>45176</v>
      </c>
      <c r="I871" t="s">
        <v>36</v>
      </c>
      <c r="J871" t="s">
        <v>1768</v>
      </c>
      <c r="K871" t="s">
        <v>32</v>
      </c>
      <c r="L871" s="3">
        <f t="shared" si="26"/>
        <v>44121</v>
      </c>
      <c r="M871" s="3">
        <f t="shared" si="27"/>
        <v>246.48603351955308</v>
      </c>
    </row>
    <row r="872" spans="1:13" x14ac:dyDescent="0.35">
      <c r="A872" t="s">
        <v>53</v>
      </c>
      <c r="B872" t="s">
        <v>20</v>
      </c>
      <c r="C872" t="s">
        <v>27</v>
      </c>
      <c r="D872" t="s">
        <v>22</v>
      </c>
      <c r="E872">
        <v>30</v>
      </c>
      <c r="F872" s="4">
        <v>509</v>
      </c>
      <c r="G872" s="9" t="s">
        <v>1769</v>
      </c>
      <c r="H872" s="1">
        <v>45369</v>
      </c>
      <c r="I872" t="s">
        <v>30</v>
      </c>
      <c r="J872" t="s">
        <v>1770</v>
      </c>
      <c r="K872" t="s">
        <v>38</v>
      </c>
      <c r="L872" s="3">
        <f t="shared" si="26"/>
        <v>10346</v>
      </c>
      <c r="M872" s="3">
        <f t="shared" si="27"/>
        <v>20.326129666011788</v>
      </c>
    </row>
    <row r="873" spans="1:13" x14ac:dyDescent="0.35">
      <c r="A873" t="s">
        <v>53</v>
      </c>
      <c r="B873" t="s">
        <v>59</v>
      </c>
      <c r="C873" t="s">
        <v>33</v>
      </c>
      <c r="D873" t="s">
        <v>34</v>
      </c>
      <c r="E873">
        <v>60</v>
      </c>
      <c r="F873" s="4">
        <v>1543</v>
      </c>
      <c r="G873" s="9" t="s">
        <v>1771</v>
      </c>
      <c r="H873" s="1">
        <v>45367</v>
      </c>
      <c r="I873" t="s">
        <v>17</v>
      </c>
      <c r="J873" t="s">
        <v>1772</v>
      </c>
      <c r="K873" t="s">
        <v>56</v>
      </c>
      <c r="L873" s="3">
        <f t="shared" si="26"/>
        <v>28043</v>
      </c>
      <c r="M873" s="3">
        <f t="shared" si="27"/>
        <v>18.174335709656514</v>
      </c>
    </row>
    <row r="874" spans="1:13" x14ac:dyDescent="0.35">
      <c r="A874" t="s">
        <v>39</v>
      </c>
      <c r="B874" t="s">
        <v>40</v>
      </c>
      <c r="C874" t="s">
        <v>21</v>
      </c>
      <c r="D874" t="s">
        <v>89</v>
      </c>
      <c r="E874" t="s">
        <v>23</v>
      </c>
      <c r="F874" s="4">
        <v>517</v>
      </c>
      <c r="G874" s="9" t="s">
        <v>1773</v>
      </c>
      <c r="H874" s="1">
        <v>45294</v>
      </c>
      <c r="I874" t="s">
        <v>17</v>
      </c>
      <c r="J874" t="s">
        <v>1774</v>
      </c>
      <c r="K874" t="s">
        <v>32</v>
      </c>
      <c r="L874" s="3">
        <f t="shared" si="26"/>
        <v>39197</v>
      </c>
      <c r="M874" s="3">
        <f t="shared" si="27"/>
        <v>75.816247582205023</v>
      </c>
    </row>
    <row r="875" spans="1:13" x14ac:dyDescent="0.35">
      <c r="A875" t="s">
        <v>26</v>
      </c>
      <c r="B875" t="s">
        <v>20</v>
      </c>
      <c r="C875" t="s">
        <v>77</v>
      </c>
      <c r="D875" t="s">
        <v>28</v>
      </c>
      <c r="E875">
        <v>60</v>
      </c>
      <c r="F875" s="4">
        <v>938</v>
      </c>
      <c r="G875" s="9" t="s">
        <v>1775</v>
      </c>
      <c r="H875" s="1">
        <v>45304</v>
      </c>
      <c r="I875" t="s">
        <v>36</v>
      </c>
      <c r="J875" t="s">
        <v>1776</v>
      </c>
      <c r="K875" t="s">
        <v>19</v>
      </c>
      <c r="L875" s="3">
        <f t="shared" si="26"/>
        <v>27950</v>
      </c>
      <c r="M875" s="3">
        <f t="shared" si="27"/>
        <v>29.797441364605543</v>
      </c>
    </row>
    <row r="876" spans="1:13" x14ac:dyDescent="0.35">
      <c r="A876" t="s">
        <v>11</v>
      </c>
      <c r="B876" t="s">
        <v>62</v>
      </c>
      <c r="C876" t="s">
        <v>13</v>
      </c>
      <c r="D876" t="s">
        <v>28</v>
      </c>
      <c r="E876">
        <v>60</v>
      </c>
      <c r="F876" s="4">
        <v>1468</v>
      </c>
      <c r="G876" s="9" t="s">
        <v>1777</v>
      </c>
      <c r="H876" s="1">
        <v>45419</v>
      </c>
      <c r="I876" t="s">
        <v>45</v>
      </c>
      <c r="J876" t="s">
        <v>1778</v>
      </c>
      <c r="K876" t="s">
        <v>38</v>
      </c>
      <c r="L876" s="3">
        <f t="shared" si="26"/>
        <v>33405</v>
      </c>
      <c r="M876" s="3">
        <f t="shared" si="27"/>
        <v>22.755449591280655</v>
      </c>
    </row>
    <row r="877" spans="1:13" x14ac:dyDescent="0.35">
      <c r="A877" t="s">
        <v>26</v>
      </c>
      <c r="B877" t="s">
        <v>62</v>
      </c>
      <c r="C877" t="s">
        <v>13</v>
      </c>
      <c r="D877" t="s">
        <v>14</v>
      </c>
      <c r="E877" t="s">
        <v>23</v>
      </c>
      <c r="F877" s="4">
        <v>1397</v>
      </c>
      <c r="G877" s="9" t="s">
        <v>1779</v>
      </c>
      <c r="H877" s="1">
        <v>45350</v>
      </c>
      <c r="I877" t="s">
        <v>30</v>
      </c>
      <c r="J877" t="s">
        <v>1780</v>
      </c>
      <c r="K877" t="s">
        <v>52</v>
      </c>
      <c r="L877" s="3">
        <f t="shared" si="26"/>
        <v>14728</v>
      </c>
      <c r="M877" s="3">
        <f t="shared" si="27"/>
        <v>10.542591267000716</v>
      </c>
    </row>
    <row r="878" spans="1:13" x14ac:dyDescent="0.35">
      <c r="A878" t="s">
        <v>86</v>
      </c>
      <c r="B878" t="s">
        <v>12</v>
      </c>
      <c r="C878" t="s">
        <v>21</v>
      </c>
      <c r="D878" t="s">
        <v>89</v>
      </c>
      <c r="E878" t="s">
        <v>43</v>
      </c>
      <c r="F878" s="4">
        <v>230</v>
      </c>
      <c r="G878" s="9" t="s">
        <v>1781</v>
      </c>
      <c r="H878" s="1">
        <v>45293</v>
      </c>
      <c r="I878" t="s">
        <v>48</v>
      </c>
      <c r="J878" t="s">
        <v>1782</v>
      </c>
      <c r="K878" t="s">
        <v>52</v>
      </c>
      <c r="L878" s="3">
        <f t="shared" si="26"/>
        <v>44042</v>
      </c>
      <c r="M878" s="3">
        <f t="shared" si="27"/>
        <v>191.48695652173913</v>
      </c>
    </row>
    <row r="879" spans="1:13" x14ac:dyDescent="0.35">
      <c r="A879" t="s">
        <v>86</v>
      </c>
      <c r="B879" t="s">
        <v>12</v>
      </c>
      <c r="C879" t="s">
        <v>13</v>
      </c>
      <c r="D879" t="s">
        <v>14</v>
      </c>
      <c r="E879">
        <v>60</v>
      </c>
      <c r="F879" s="4">
        <v>498</v>
      </c>
      <c r="G879" s="9" t="s">
        <v>1783</v>
      </c>
      <c r="H879" s="1">
        <v>45165</v>
      </c>
      <c r="I879" t="s">
        <v>48</v>
      </c>
      <c r="J879" t="s">
        <v>1784</v>
      </c>
      <c r="K879" t="s">
        <v>52</v>
      </c>
      <c r="L879" s="3">
        <f t="shared" si="26"/>
        <v>26954</v>
      </c>
      <c r="M879" s="3">
        <f t="shared" si="27"/>
        <v>54.124497991967871</v>
      </c>
    </row>
    <row r="880" spans="1:13" x14ac:dyDescent="0.35">
      <c r="A880" t="s">
        <v>39</v>
      </c>
      <c r="B880" t="s">
        <v>62</v>
      </c>
      <c r="C880" t="s">
        <v>21</v>
      </c>
      <c r="D880" t="s">
        <v>28</v>
      </c>
      <c r="E880" t="s">
        <v>23</v>
      </c>
      <c r="F880" s="4">
        <v>1501</v>
      </c>
      <c r="G880" s="9" t="s">
        <v>1785</v>
      </c>
      <c r="H880" s="1">
        <v>45230</v>
      </c>
      <c r="I880" t="s">
        <v>17</v>
      </c>
      <c r="J880" t="s">
        <v>1786</v>
      </c>
      <c r="K880" t="s">
        <v>56</v>
      </c>
      <c r="L880" s="3">
        <f t="shared" si="26"/>
        <v>49128</v>
      </c>
      <c r="M880" s="3">
        <f t="shared" si="27"/>
        <v>32.730179880079945</v>
      </c>
    </row>
    <row r="881" spans="1:13" x14ac:dyDescent="0.35">
      <c r="A881" t="s">
        <v>11</v>
      </c>
      <c r="B881" t="s">
        <v>20</v>
      </c>
      <c r="C881" t="s">
        <v>77</v>
      </c>
      <c r="D881" t="s">
        <v>28</v>
      </c>
      <c r="E881">
        <v>30</v>
      </c>
      <c r="F881" s="4">
        <v>190</v>
      </c>
      <c r="G881" s="9" t="s">
        <v>1787</v>
      </c>
      <c r="H881" s="1">
        <v>45300</v>
      </c>
      <c r="I881" t="s">
        <v>36</v>
      </c>
      <c r="J881" t="s">
        <v>1788</v>
      </c>
      <c r="K881" t="s">
        <v>56</v>
      </c>
      <c r="L881" s="3">
        <f t="shared" si="26"/>
        <v>40850</v>
      </c>
      <c r="M881" s="3">
        <f t="shared" si="27"/>
        <v>215</v>
      </c>
    </row>
    <row r="882" spans="1:13" x14ac:dyDescent="0.35">
      <c r="A882" t="s">
        <v>26</v>
      </c>
      <c r="B882" t="s">
        <v>59</v>
      </c>
      <c r="C882" t="s">
        <v>33</v>
      </c>
      <c r="D882" t="s">
        <v>34</v>
      </c>
      <c r="E882">
        <v>30</v>
      </c>
      <c r="F882" s="4">
        <v>1984</v>
      </c>
      <c r="G882" s="9" t="s">
        <v>1789</v>
      </c>
      <c r="H882" s="1">
        <v>45263</v>
      </c>
      <c r="I882" t="s">
        <v>45</v>
      </c>
      <c r="J882" t="s">
        <v>1790</v>
      </c>
      <c r="K882" t="s">
        <v>19</v>
      </c>
      <c r="L882" s="3">
        <f t="shared" si="26"/>
        <v>49839</v>
      </c>
      <c r="M882" s="3">
        <f t="shared" si="27"/>
        <v>25.12046370967742</v>
      </c>
    </row>
    <row r="883" spans="1:13" x14ac:dyDescent="0.35">
      <c r="A883" t="s">
        <v>86</v>
      </c>
      <c r="B883" t="s">
        <v>59</v>
      </c>
      <c r="C883" t="s">
        <v>27</v>
      </c>
      <c r="D883" t="s">
        <v>22</v>
      </c>
      <c r="E883" t="s">
        <v>15</v>
      </c>
      <c r="F883" s="4">
        <v>1919</v>
      </c>
      <c r="G883" s="9" t="s">
        <v>1791</v>
      </c>
      <c r="H883" s="1">
        <v>45305</v>
      </c>
      <c r="I883" t="s">
        <v>17</v>
      </c>
      <c r="J883" t="s">
        <v>1792</v>
      </c>
      <c r="K883" t="s">
        <v>52</v>
      </c>
      <c r="L883" s="3">
        <f t="shared" si="26"/>
        <v>29695</v>
      </c>
      <c r="M883" s="3">
        <f t="shared" si="27"/>
        <v>15.474205315268369</v>
      </c>
    </row>
    <row r="884" spans="1:13" x14ac:dyDescent="0.35">
      <c r="A884" t="s">
        <v>11</v>
      </c>
      <c r="B884" t="s">
        <v>62</v>
      </c>
      <c r="C884" t="s">
        <v>27</v>
      </c>
      <c r="D884" t="s">
        <v>22</v>
      </c>
      <c r="E884" t="s">
        <v>43</v>
      </c>
      <c r="F884" s="4">
        <v>655</v>
      </c>
      <c r="G884" s="9" t="s">
        <v>1793</v>
      </c>
      <c r="H884" s="1">
        <v>45458</v>
      </c>
      <c r="I884" t="s">
        <v>36</v>
      </c>
      <c r="J884" t="s">
        <v>1794</v>
      </c>
      <c r="K884" t="s">
        <v>38</v>
      </c>
      <c r="L884" s="3">
        <f t="shared" si="26"/>
        <v>8141</v>
      </c>
      <c r="M884" s="3">
        <f t="shared" si="27"/>
        <v>12.429007633587787</v>
      </c>
    </row>
    <row r="885" spans="1:13" x14ac:dyDescent="0.35">
      <c r="A885" t="s">
        <v>86</v>
      </c>
      <c r="B885" t="s">
        <v>12</v>
      </c>
      <c r="C885" t="s">
        <v>21</v>
      </c>
      <c r="D885" t="s">
        <v>14</v>
      </c>
      <c r="E885">
        <v>30</v>
      </c>
      <c r="F885" s="4">
        <v>935</v>
      </c>
      <c r="G885" s="9" t="s">
        <v>1795</v>
      </c>
      <c r="H885" s="1">
        <v>45190</v>
      </c>
      <c r="I885" t="s">
        <v>36</v>
      </c>
      <c r="J885" t="s">
        <v>1796</v>
      </c>
      <c r="K885" t="s">
        <v>56</v>
      </c>
      <c r="L885" s="3">
        <f t="shared" si="26"/>
        <v>46285</v>
      </c>
      <c r="M885" s="3">
        <f t="shared" si="27"/>
        <v>49.502673796791441</v>
      </c>
    </row>
    <row r="886" spans="1:13" x14ac:dyDescent="0.35">
      <c r="A886" t="s">
        <v>26</v>
      </c>
      <c r="B886" t="s">
        <v>12</v>
      </c>
      <c r="C886" t="s">
        <v>21</v>
      </c>
      <c r="D886" t="s">
        <v>28</v>
      </c>
      <c r="E886">
        <v>30</v>
      </c>
      <c r="F886" s="4">
        <v>1565</v>
      </c>
      <c r="G886" s="9" t="s">
        <v>1797</v>
      </c>
      <c r="H886" s="1">
        <v>45301</v>
      </c>
      <c r="I886" t="s">
        <v>30</v>
      </c>
      <c r="J886" t="s">
        <v>1798</v>
      </c>
      <c r="K886" t="s">
        <v>52</v>
      </c>
      <c r="L886" s="3">
        <f t="shared" si="26"/>
        <v>13345</v>
      </c>
      <c r="M886" s="3">
        <f t="shared" si="27"/>
        <v>8.5271565495207664</v>
      </c>
    </row>
    <row r="887" spans="1:13" x14ac:dyDescent="0.35">
      <c r="A887" t="s">
        <v>11</v>
      </c>
      <c r="B887" t="s">
        <v>59</v>
      </c>
      <c r="C887" t="s">
        <v>13</v>
      </c>
      <c r="D887" t="s">
        <v>14</v>
      </c>
      <c r="E887" t="s">
        <v>15</v>
      </c>
      <c r="F887" s="4">
        <v>769</v>
      </c>
      <c r="G887" s="9" t="s">
        <v>1799</v>
      </c>
      <c r="H887" s="1">
        <v>45165</v>
      </c>
      <c r="I887" t="s">
        <v>45</v>
      </c>
      <c r="J887" t="s">
        <v>1800</v>
      </c>
      <c r="K887" t="s">
        <v>56</v>
      </c>
      <c r="L887" s="3">
        <f t="shared" si="26"/>
        <v>24713</v>
      </c>
      <c r="M887" s="3">
        <f t="shared" si="27"/>
        <v>32.136540962288684</v>
      </c>
    </row>
    <row r="888" spans="1:13" x14ac:dyDescent="0.35">
      <c r="A888" t="s">
        <v>26</v>
      </c>
      <c r="B888" t="s">
        <v>40</v>
      </c>
      <c r="C888" t="s">
        <v>27</v>
      </c>
      <c r="D888" t="s">
        <v>89</v>
      </c>
      <c r="E888" t="s">
        <v>43</v>
      </c>
      <c r="F888" s="4">
        <v>1624</v>
      </c>
      <c r="G888" s="9" t="s">
        <v>1801</v>
      </c>
      <c r="H888" s="1">
        <v>45180</v>
      </c>
      <c r="I888" t="s">
        <v>30</v>
      </c>
      <c r="J888" t="s">
        <v>1802</v>
      </c>
      <c r="K888" t="s">
        <v>56</v>
      </c>
      <c r="L888" s="3">
        <f t="shared" si="26"/>
        <v>13764</v>
      </c>
      <c r="M888" s="3">
        <f t="shared" si="27"/>
        <v>8.4753694581280783</v>
      </c>
    </row>
    <row r="889" spans="1:13" x14ac:dyDescent="0.35">
      <c r="A889" t="s">
        <v>53</v>
      </c>
      <c r="B889" t="s">
        <v>12</v>
      </c>
      <c r="C889" t="s">
        <v>77</v>
      </c>
      <c r="D889" t="s">
        <v>28</v>
      </c>
      <c r="E889">
        <v>60</v>
      </c>
      <c r="F889" s="4">
        <v>676</v>
      </c>
      <c r="G889" s="9" t="s">
        <v>1803</v>
      </c>
      <c r="H889" s="1">
        <v>45441</v>
      </c>
      <c r="I889" t="s">
        <v>45</v>
      </c>
      <c r="J889" t="s">
        <v>1804</v>
      </c>
      <c r="K889" t="s">
        <v>52</v>
      </c>
      <c r="L889" s="3">
        <f t="shared" si="26"/>
        <v>35872</v>
      </c>
      <c r="M889" s="3">
        <f t="shared" si="27"/>
        <v>53.065088757396452</v>
      </c>
    </row>
    <row r="890" spans="1:13" x14ac:dyDescent="0.35">
      <c r="A890" t="s">
        <v>53</v>
      </c>
      <c r="B890" t="s">
        <v>59</v>
      </c>
      <c r="C890" t="s">
        <v>77</v>
      </c>
      <c r="D890" t="s">
        <v>28</v>
      </c>
      <c r="E890" t="s">
        <v>15</v>
      </c>
      <c r="F890" s="4">
        <v>906</v>
      </c>
      <c r="G890" s="9" t="s">
        <v>1805</v>
      </c>
      <c r="H890" s="1">
        <v>45352</v>
      </c>
      <c r="I890" t="s">
        <v>48</v>
      </c>
      <c r="J890" t="s">
        <v>1806</v>
      </c>
      <c r="K890" t="s">
        <v>19</v>
      </c>
      <c r="L890" s="3">
        <f t="shared" si="26"/>
        <v>12431</v>
      </c>
      <c r="M890" s="3">
        <f t="shared" si="27"/>
        <v>13.72075055187638</v>
      </c>
    </row>
    <row r="891" spans="1:13" x14ac:dyDescent="0.35">
      <c r="A891" t="s">
        <v>53</v>
      </c>
      <c r="B891" t="s">
        <v>59</v>
      </c>
      <c r="C891" t="s">
        <v>21</v>
      </c>
      <c r="D891" t="s">
        <v>28</v>
      </c>
      <c r="E891" t="s">
        <v>43</v>
      </c>
      <c r="F891" s="4">
        <v>1870</v>
      </c>
      <c r="G891" s="9" t="s">
        <v>1491</v>
      </c>
      <c r="H891" s="1">
        <v>45366</v>
      </c>
      <c r="I891" t="s">
        <v>17</v>
      </c>
      <c r="J891" t="s">
        <v>1807</v>
      </c>
      <c r="K891" t="s">
        <v>38</v>
      </c>
      <c r="L891" s="3">
        <f t="shared" si="26"/>
        <v>4688</v>
      </c>
      <c r="M891" s="3">
        <f t="shared" si="27"/>
        <v>2.5069518716577539</v>
      </c>
    </row>
    <row r="892" spans="1:13" x14ac:dyDescent="0.35">
      <c r="A892" t="s">
        <v>53</v>
      </c>
      <c r="B892" t="s">
        <v>12</v>
      </c>
      <c r="C892" t="s">
        <v>27</v>
      </c>
      <c r="D892" t="s">
        <v>14</v>
      </c>
      <c r="E892" t="s">
        <v>15</v>
      </c>
      <c r="F892" s="4">
        <v>1810</v>
      </c>
      <c r="G892" s="9" t="s">
        <v>1808</v>
      </c>
      <c r="H892" s="1">
        <v>45151</v>
      </c>
      <c r="I892" t="s">
        <v>45</v>
      </c>
      <c r="J892" t="s">
        <v>1809</v>
      </c>
      <c r="K892" t="s">
        <v>38</v>
      </c>
      <c r="L892" s="3">
        <f t="shared" si="26"/>
        <v>27443</v>
      </c>
      <c r="M892" s="3">
        <f t="shared" si="27"/>
        <v>15.161878453038675</v>
      </c>
    </row>
    <row r="893" spans="1:13" x14ac:dyDescent="0.35">
      <c r="A893" t="s">
        <v>11</v>
      </c>
      <c r="B893" t="s">
        <v>20</v>
      </c>
      <c r="C893" t="s">
        <v>27</v>
      </c>
      <c r="D893" t="s">
        <v>34</v>
      </c>
      <c r="E893">
        <v>60</v>
      </c>
      <c r="F893" s="4">
        <v>427</v>
      </c>
      <c r="G893" s="9" t="s">
        <v>1810</v>
      </c>
      <c r="H893" s="1">
        <v>45396</v>
      </c>
      <c r="I893" t="s">
        <v>48</v>
      </c>
      <c r="J893" t="s">
        <v>1811</v>
      </c>
      <c r="K893" t="s">
        <v>19</v>
      </c>
      <c r="L893" s="3">
        <f t="shared" si="26"/>
        <v>8379</v>
      </c>
      <c r="M893" s="3">
        <f t="shared" si="27"/>
        <v>19.622950819672131</v>
      </c>
    </row>
    <row r="894" spans="1:13" x14ac:dyDescent="0.35">
      <c r="A894" t="s">
        <v>86</v>
      </c>
      <c r="B894" t="s">
        <v>20</v>
      </c>
      <c r="C894" t="s">
        <v>33</v>
      </c>
      <c r="D894" t="s">
        <v>28</v>
      </c>
      <c r="E894" t="s">
        <v>23</v>
      </c>
      <c r="F894" s="4">
        <v>1340</v>
      </c>
      <c r="G894" s="9" t="s">
        <v>1812</v>
      </c>
      <c r="H894" s="1">
        <v>45343</v>
      </c>
      <c r="I894" t="s">
        <v>48</v>
      </c>
      <c r="J894" t="s">
        <v>1813</v>
      </c>
      <c r="K894" t="s">
        <v>38</v>
      </c>
      <c r="L894" s="3">
        <f t="shared" si="26"/>
        <v>32355</v>
      </c>
      <c r="M894" s="3">
        <f t="shared" si="27"/>
        <v>24.145522388059703</v>
      </c>
    </row>
    <row r="895" spans="1:13" x14ac:dyDescent="0.35">
      <c r="A895" t="s">
        <v>39</v>
      </c>
      <c r="B895" t="s">
        <v>40</v>
      </c>
      <c r="C895" t="s">
        <v>21</v>
      </c>
      <c r="D895" t="s">
        <v>28</v>
      </c>
      <c r="E895">
        <v>60</v>
      </c>
      <c r="F895" s="4">
        <v>1084</v>
      </c>
      <c r="G895" s="9" t="s">
        <v>1814</v>
      </c>
      <c r="H895" s="1">
        <v>45279</v>
      </c>
      <c r="I895" t="s">
        <v>48</v>
      </c>
      <c r="J895" t="s">
        <v>1815</v>
      </c>
      <c r="K895" t="s">
        <v>19</v>
      </c>
      <c r="L895" s="3">
        <f t="shared" si="26"/>
        <v>40033</v>
      </c>
      <c r="M895" s="3">
        <f t="shared" si="27"/>
        <v>36.930811808118079</v>
      </c>
    </row>
    <row r="896" spans="1:13" x14ac:dyDescent="0.35">
      <c r="A896" t="s">
        <v>39</v>
      </c>
      <c r="B896" t="s">
        <v>12</v>
      </c>
      <c r="C896" t="s">
        <v>27</v>
      </c>
      <c r="D896" t="s">
        <v>22</v>
      </c>
      <c r="E896">
        <v>60</v>
      </c>
      <c r="F896" s="4">
        <v>1441</v>
      </c>
      <c r="G896" s="9" t="s">
        <v>1816</v>
      </c>
      <c r="H896" s="1">
        <v>45338</v>
      </c>
      <c r="I896" t="s">
        <v>30</v>
      </c>
      <c r="J896" t="s">
        <v>1817</v>
      </c>
      <c r="K896" t="s">
        <v>52</v>
      </c>
      <c r="L896" s="3">
        <f t="shared" si="26"/>
        <v>5001</v>
      </c>
      <c r="M896" s="3">
        <f t="shared" si="27"/>
        <v>3.4705065926439973</v>
      </c>
    </row>
    <row r="897" spans="1:13" x14ac:dyDescent="0.35">
      <c r="A897" t="s">
        <v>26</v>
      </c>
      <c r="B897" t="s">
        <v>20</v>
      </c>
      <c r="C897" t="s">
        <v>21</v>
      </c>
      <c r="D897" t="s">
        <v>22</v>
      </c>
      <c r="E897" t="s">
        <v>23</v>
      </c>
      <c r="F897" s="4">
        <v>1440</v>
      </c>
      <c r="G897" s="9" t="s">
        <v>1818</v>
      </c>
      <c r="H897" s="1">
        <v>45501</v>
      </c>
      <c r="I897" t="s">
        <v>17</v>
      </c>
      <c r="J897" t="s">
        <v>1819</v>
      </c>
      <c r="K897" t="s">
        <v>38</v>
      </c>
      <c r="L897" s="3">
        <f t="shared" si="26"/>
        <v>35398</v>
      </c>
      <c r="M897" s="3">
        <f t="shared" si="27"/>
        <v>24.581944444444446</v>
      </c>
    </row>
    <row r="898" spans="1:13" x14ac:dyDescent="0.35">
      <c r="A898" t="s">
        <v>53</v>
      </c>
      <c r="B898" t="s">
        <v>62</v>
      </c>
      <c r="C898" t="s">
        <v>77</v>
      </c>
      <c r="D898" t="s">
        <v>14</v>
      </c>
      <c r="E898" t="s">
        <v>23</v>
      </c>
      <c r="F898" s="4">
        <v>891</v>
      </c>
      <c r="G898" s="9" t="s">
        <v>1820</v>
      </c>
      <c r="H898" s="1">
        <v>45211</v>
      </c>
      <c r="I898" t="s">
        <v>48</v>
      </c>
      <c r="J898" t="s">
        <v>1821</v>
      </c>
      <c r="K898" t="s">
        <v>19</v>
      </c>
      <c r="L898" s="3">
        <f t="shared" ref="L898:L961" si="28">VALUE(SUBSTITUTE(G898,"$",""))</f>
        <v>27927</v>
      </c>
      <c r="M898" s="3">
        <f t="shared" si="27"/>
        <v>31.343434343434343</v>
      </c>
    </row>
    <row r="899" spans="1:13" x14ac:dyDescent="0.35">
      <c r="A899" t="s">
        <v>53</v>
      </c>
      <c r="B899" t="s">
        <v>20</v>
      </c>
      <c r="C899" t="s">
        <v>21</v>
      </c>
      <c r="D899" t="s">
        <v>14</v>
      </c>
      <c r="E899">
        <v>30</v>
      </c>
      <c r="F899" s="4">
        <v>1718</v>
      </c>
      <c r="G899" s="9" t="s">
        <v>1822</v>
      </c>
      <c r="H899" s="1">
        <v>45175</v>
      </c>
      <c r="I899" t="s">
        <v>30</v>
      </c>
      <c r="J899" t="s">
        <v>1823</v>
      </c>
      <c r="K899" t="s">
        <v>19</v>
      </c>
      <c r="L899" s="3">
        <f t="shared" si="28"/>
        <v>27940</v>
      </c>
      <c r="M899" s="3">
        <f t="shared" ref="M899:M962" si="29">VALUE(SUBSTITUTE(SUBSTITUTE(G899,"$",""),",",""))/F899</f>
        <v>16.263096623981372</v>
      </c>
    </row>
    <row r="900" spans="1:13" x14ac:dyDescent="0.35">
      <c r="A900" t="s">
        <v>86</v>
      </c>
      <c r="B900" t="s">
        <v>20</v>
      </c>
      <c r="C900" t="s">
        <v>21</v>
      </c>
      <c r="D900" t="s">
        <v>28</v>
      </c>
      <c r="E900" t="s">
        <v>15</v>
      </c>
      <c r="F900" s="4">
        <v>1367</v>
      </c>
      <c r="G900" s="9" t="s">
        <v>1824</v>
      </c>
      <c r="H900" s="1">
        <v>45307</v>
      </c>
      <c r="I900" t="s">
        <v>17</v>
      </c>
      <c r="J900" t="s">
        <v>1825</v>
      </c>
      <c r="K900" t="s">
        <v>38</v>
      </c>
      <c r="L900" s="3">
        <f t="shared" si="28"/>
        <v>45734</v>
      </c>
      <c r="M900" s="3">
        <f t="shared" si="29"/>
        <v>33.455742501828823</v>
      </c>
    </row>
    <row r="901" spans="1:13" x14ac:dyDescent="0.35">
      <c r="A901" t="s">
        <v>53</v>
      </c>
      <c r="B901" t="s">
        <v>59</v>
      </c>
      <c r="C901" t="s">
        <v>33</v>
      </c>
      <c r="D901" t="s">
        <v>14</v>
      </c>
      <c r="E901" t="s">
        <v>23</v>
      </c>
      <c r="F901" s="4">
        <v>1899</v>
      </c>
      <c r="G901" s="9" t="s">
        <v>1826</v>
      </c>
      <c r="H901" s="1">
        <v>45186</v>
      </c>
      <c r="I901" t="s">
        <v>36</v>
      </c>
      <c r="J901" t="s">
        <v>1827</v>
      </c>
      <c r="K901" t="s">
        <v>19</v>
      </c>
      <c r="L901" s="3">
        <f t="shared" si="28"/>
        <v>19924</v>
      </c>
      <c r="M901" s="3">
        <f t="shared" si="29"/>
        <v>10.491837809373354</v>
      </c>
    </row>
    <row r="902" spans="1:13" x14ac:dyDescent="0.35">
      <c r="A902" t="s">
        <v>26</v>
      </c>
      <c r="B902" t="s">
        <v>59</v>
      </c>
      <c r="C902" t="s">
        <v>13</v>
      </c>
      <c r="D902" t="s">
        <v>22</v>
      </c>
      <c r="E902" t="s">
        <v>23</v>
      </c>
      <c r="F902" s="4">
        <v>824</v>
      </c>
      <c r="G902" s="9" t="s">
        <v>1828</v>
      </c>
      <c r="H902" s="1">
        <v>45283</v>
      </c>
      <c r="I902" t="s">
        <v>48</v>
      </c>
      <c r="J902" t="s">
        <v>1829</v>
      </c>
      <c r="K902" t="s">
        <v>19</v>
      </c>
      <c r="L902" s="3">
        <f t="shared" si="28"/>
        <v>49294</v>
      </c>
      <c r="M902" s="3">
        <f t="shared" si="29"/>
        <v>59.822815533980581</v>
      </c>
    </row>
    <row r="903" spans="1:13" x14ac:dyDescent="0.35">
      <c r="A903" t="s">
        <v>53</v>
      </c>
      <c r="B903" t="s">
        <v>12</v>
      </c>
      <c r="C903" t="s">
        <v>21</v>
      </c>
      <c r="D903" t="s">
        <v>89</v>
      </c>
      <c r="E903" t="s">
        <v>23</v>
      </c>
      <c r="F903" s="4">
        <v>1964</v>
      </c>
      <c r="G903" s="9" t="s">
        <v>1830</v>
      </c>
      <c r="H903" s="1">
        <v>45494</v>
      </c>
      <c r="I903" t="s">
        <v>48</v>
      </c>
      <c r="J903" t="s">
        <v>1831</v>
      </c>
      <c r="K903" t="s">
        <v>52</v>
      </c>
      <c r="L903" s="3">
        <f t="shared" si="28"/>
        <v>33741</v>
      </c>
      <c r="M903" s="3">
        <f t="shared" si="29"/>
        <v>17.179735234215887</v>
      </c>
    </row>
    <row r="904" spans="1:13" x14ac:dyDescent="0.35">
      <c r="A904" t="s">
        <v>11</v>
      </c>
      <c r="B904" t="s">
        <v>12</v>
      </c>
      <c r="C904" t="s">
        <v>13</v>
      </c>
      <c r="D904" t="s">
        <v>28</v>
      </c>
      <c r="E904" t="s">
        <v>15</v>
      </c>
      <c r="F904" s="4">
        <v>1091</v>
      </c>
      <c r="G904" s="9" t="s">
        <v>1832</v>
      </c>
      <c r="H904" s="1">
        <v>45403</v>
      </c>
      <c r="I904" t="s">
        <v>36</v>
      </c>
      <c r="J904" t="s">
        <v>1833</v>
      </c>
      <c r="K904" t="s">
        <v>19</v>
      </c>
      <c r="L904" s="3">
        <f t="shared" si="28"/>
        <v>46316</v>
      </c>
      <c r="M904" s="3">
        <f t="shared" si="29"/>
        <v>42.452795600366635</v>
      </c>
    </row>
    <row r="905" spans="1:13" x14ac:dyDescent="0.35">
      <c r="A905" t="s">
        <v>53</v>
      </c>
      <c r="B905" t="s">
        <v>62</v>
      </c>
      <c r="C905" t="s">
        <v>13</v>
      </c>
      <c r="D905" t="s">
        <v>14</v>
      </c>
      <c r="E905" t="s">
        <v>43</v>
      </c>
      <c r="F905" s="4">
        <v>247</v>
      </c>
      <c r="G905" s="9" t="s">
        <v>1834</v>
      </c>
      <c r="H905" s="1">
        <v>45206</v>
      </c>
      <c r="I905" t="s">
        <v>17</v>
      </c>
      <c r="J905" t="s">
        <v>1835</v>
      </c>
      <c r="K905" t="s">
        <v>52</v>
      </c>
      <c r="L905" s="3">
        <f t="shared" si="28"/>
        <v>35441</v>
      </c>
      <c r="M905" s="3">
        <f t="shared" si="29"/>
        <v>143.48582995951418</v>
      </c>
    </row>
    <row r="906" spans="1:13" x14ac:dyDescent="0.35">
      <c r="A906" t="s">
        <v>86</v>
      </c>
      <c r="B906" t="s">
        <v>40</v>
      </c>
      <c r="C906" t="s">
        <v>27</v>
      </c>
      <c r="D906" t="s">
        <v>14</v>
      </c>
      <c r="E906">
        <v>60</v>
      </c>
      <c r="F906" s="4">
        <v>1598</v>
      </c>
      <c r="G906" s="9" t="s">
        <v>1836</v>
      </c>
      <c r="H906" s="1">
        <v>45156</v>
      </c>
      <c r="I906" t="s">
        <v>45</v>
      </c>
      <c r="J906" t="s">
        <v>1837</v>
      </c>
      <c r="K906" t="s">
        <v>32</v>
      </c>
      <c r="L906" s="3">
        <f t="shared" si="28"/>
        <v>4074</v>
      </c>
      <c r="M906" s="3">
        <f t="shared" si="29"/>
        <v>2.549436795994994</v>
      </c>
    </row>
    <row r="907" spans="1:13" x14ac:dyDescent="0.35">
      <c r="A907" t="s">
        <v>53</v>
      </c>
      <c r="B907" t="s">
        <v>20</v>
      </c>
      <c r="C907" t="s">
        <v>27</v>
      </c>
      <c r="D907" t="s">
        <v>28</v>
      </c>
      <c r="E907" t="s">
        <v>15</v>
      </c>
      <c r="F907" s="4">
        <v>679</v>
      </c>
      <c r="G907" s="9" t="s">
        <v>1838</v>
      </c>
      <c r="H907" s="1">
        <v>45242</v>
      </c>
      <c r="I907" t="s">
        <v>30</v>
      </c>
      <c r="J907" t="s">
        <v>1839</v>
      </c>
      <c r="K907" t="s">
        <v>38</v>
      </c>
      <c r="L907" s="3">
        <f t="shared" si="28"/>
        <v>22164</v>
      </c>
      <c r="M907" s="3">
        <f t="shared" si="29"/>
        <v>32.642120765832104</v>
      </c>
    </row>
    <row r="908" spans="1:13" x14ac:dyDescent="0.35">
      <c r="A908" t="s">
        <v>26</v>
      </c>
      <c r="B908" t="s">
        <v>40</v>
      </c>
      <c r="C908" t="s">
        <v>33</v>
      </c>
      <c r="D908" t="s">
        <v>89</v>
      </c>
      <c r="E908">
        <v>30</v>
      </c>
      <c r="F908" s="4">
        <v>1521</v>
      </c>
      <c r="G908" s="9" t="s">
        <v>1840</v>
      </c>
      <c r="H908" s="1">
        <v>45344</v>
      </c>
      <c r="I908" t="s">
        <v>45</v>
      </c>
      <c r="J908" t="s">
        <v>1841</v>
      </c>
      <c r="K908" t="s">
        <v>19</v>
      </c>
      <c r="L908" s="3">
        <f t="shared" si="28"/>
        <v>35865</v>
      </c>
      <c r="M908" s="3">
        <f t="shared" si="29"/>
        <v>23.579881656804734</v>
      </c>
    </row>
    <row r="909" spans="1:13" x14ac:dyDescent="0.35">
      <c r="A909" t="s">
        <v>39</v>
      </c>
      <c r="B909" t="s">
        <v>12</v>
      </c>
      <c r="C909" t="s">
        <v>13</v>
      </c>
      <c r="D909" t="s">
        <v>89</v>
      </c>
      <c r="E909">
        <v>60</v>
      </c>
      <c r="F909" s="4">
        <v>347</v>
      </c>
      <c r="G909" s="9" t="s">
        <v>1842</v>
      </c>
      <c r="H909" s="1">
        <v>45422</v>
      </c>
      <c r="I909" t="s">
        <v>30</v>
      </c>
      <c r="J909" t="s">
        <v>1843</v>
      </c>
      <c r="K909" t="s">
        <v>19</v>
      </c>
      <c r="L909" s="3">
        <f t="shared" si="28"/>
        <v>25965</v>
      </c>
      <c r="M909" s="3">
        <f t="shared" si="29"/>
        <v>74.827089337175792</v>
      </c>
    </row>
    <row r="910" spans="1:13" x14ac:dyDescent="0.35">
      <c r="A910" t="s">
        <v>53</v>
      </c>
      <c r="B910" t="s">
        <v>59</v>
      </c>
      <c r="C910" t="s">
        <v>33</v>
      </c>
      <c r="D910" t="s">
        <v>34</v>
      </c>
      <c r="E910" t="s">
        <v>23</v>
      </c>
      <c r="F910" s="4">
        <v>740</v>
      </c>
      <c r="G910" s="9" t="s">
        <v>1516</v>
      </c>
      <c r="H910" s="1">
        <v>45473</v>
      </c>
      <c r="I910" t="s">
        <v>36</v>
      </c>
      <c r="J910" t="s">
        <v>1844</v>
      </c>
      <c r="K910" t="s">
        <v>19</v>
      </c>
      <c r="L910" s="3">
        <f t="shared" si="28"/>
        <v>37678</v>
      </c>
      <c r="M910" s="3">
        <f t="shared" si="29"/>
        <v>50.916216216216213</v>
      </c>
    </row>
    <row r="911" spans="1:13" x14ac:dyDescent="0.35">
      <c r="A911" t="s">
        <v>11</v>
      </c>
      <c r="B911" t="s">
        <v>40</v>
      </c>
      <c r="C911" t="s">
        <v>13</v>
      </c>
      <c r="D911" t="s">
        <v>14</v>
      </c>
      <c r="E911">
        <v>60</v>
      </c>
      <c r="F911" s="4">
        <v>872</v>
      </c>
      <c r="G911" s="9" t="s">
        <v>1845</v>
      </c>
      <c r="H911" s="1">
        <v>45362</v>
      </c>
      <c r="I911" t="s">
        <v>36</v>
      </c>
      <c r="J911" t="s">
        <v>1846</v>
      </c>
      <c r="K911" t="s">
        <v>52</v>
      </c>
      <c r="L911" s="3">
        <f t="shared" si="28"/>
        <v>10189</v>
      </c>
      <c r="M911" s="3">
        <f t="shared" si="29"/>
        <v>11.684633027522937</v>
      </c>
    </row>
    <row r="912" spans="1:13" x14ac:dyDescent="0.35">
      <c r="A912" t="s">
        <v>26</v>
      </c>
      <c r="B912" t="s">
        <v>59</v>
      </c>
      <c r="C912" t="s">
        <v>21</v>
      </c>
      <c r="D912" t="s">
        <v>34</v>
      </c>
      <c r="E912" t="s">
        <v>43</v>
      </c>
      <c r="F912" s="4">
        <v>449</v>
      </c>
      <c r="G912" s="9" t="s">
        <v>1847</v>
      </c>
      <c r="H912" s="1">
        <v>45406</v>
      </c>
      <c r="I912" t="s">
        <v>17</v>
      </c>
      <c r="J912" t="s">
        <v>1848</v>
      </c>
      <c r="K912" t="s">
        <v>38</v>
      </c>
      <c r="L912" s="3">
        <f t="shared" si="28"/>
        <v>18843</v>
      </c>
      <c r="M912" s="3">
        <f t="shared" si="29"/>
        <v>41.966592427616924</v>
      </c>
    </row>
    <row r="913" spans="1:13" x14ac:dyDescent="0.35">
      <c r="A913" t="s">
        <v>11</v>
      </c>
      <c r="B913" t="s">
        <v>62</v>
      </c>
      <c r="C913" t="s">
        <v>77</v>
      </c>
      <c r="D913" t="s">
        <v>22</v>
      </c>
      <c r="E913" t="s">
        <v>23</v>
      </c>
      <c r="F913" s="4">
        <v>1835</v>
      </c>
      <c r="G913" s="9" t="s">
        <v>1849</v>
      </c>
      <c r="H913" s="1">
        <v>45468</v>
      </c>
      <c r="I913" t="s">
        <v>17</v>
      </c>
      <c r="J913" t="s">
        <v>1850</v>
      </c>
      <c r="K913" t="s">
        <v>19</v>
      </c>
      <c r="L913" s="3">
        <f t="shared" si="28"/>
        <v>37032</v>
      </c>
      <c r="M913" s="3">
        <f t="shared" si="29"/>
        <v>20.180926430517712</v>
      </c>
    </row>
    <row r="914" spans="1:13" x14ac:dyDescent="0.35">
      <c r="A914" t="s">
        <v>11</v>
      </c>
      <c r="B914" t="s">
        <v>59</v>
      </c>
      <c r="C914" t="s">
        <v>21</v>
      </c>
      <c r="D914" t="s">
        <v>34</v>
      </c>
      <c r="E914">
        <v>30</v>
      </c>
      <c r="F914" s="4">
        <v>413</v>
      </c>
      <c r="G914" s="9" t="s">
        <v>1851</v>
      </c>
      <c r="H914" s="1">
        <v>45456</v>
      </c>
      <c r="I914" t="s">
        <v>45</v>
      </c>
      <c r="J914" t="s">
        <v>1852</v>
      </c>
      <c r="K914" t="s">
        <v>19</v>
      </c>
      <c r="L914" s="3">
        <f t="shared" si="28"/>
        <v>38333</v>
      </c>
      <c r="M914" s="3">
        <f t="shared" si="29"/>
        <v>92.815980629539951</v>
      </c>
    </row>
    <row r="915" spans="1:13" x14ac:dyDescent="0.35">
      <c r="A915" t="s">
        <v>86</v>
      </c>
      <c r="B915" t="s">
        <v>40</v>
      </c>
      <c r="C915" t="s">
        <v>77</v>
      </c>
      <c r="D915" t="s">
        <v>22</v>
      </c>
      <c r="E915">
        <v>30</v>
      </c>
      <c r="F915" s="4">
        <v>913</v>
      </c>
      <c r="G915" s="9" t="s">
        <v>1853</v>
      </c>
      <c r="H915" s="1">
        <v>45186</v>
      </c>
      <c r="I915" t="s">
        <v>48</v>
      </c>
      <c r="J915" t="s">
        <v>1854</v>
      </c>
      <c r="K915" t="s">
        <v>19</v>
      </c>
      <c r="L915" s="3">
        <f t="shared" si="28"/>
        <v>42870</v>
      </c>
      <c r="M915" s="3">
        <f t="shared" si="29"/>
        <v>46.955093099671416</v>
      </c>
    </row>
    <row r="916" spans="1:13" x14ac:dyDescent="0.35">
      <c r="A916" t="s">
        <v>39</v>
      </c>
      <c r="B916" t="s">
        <v>62</v>
      </c>
      <c r="C916" t="s">
        <v>21</v>
      </c>
      <c r="D916" t="s">
        <v>89</v>
      </c>
      <c r="E916" t="s">
        <v>23</v>
      </c>
      <c r="F916" s="4">
        <v>1075</v>
      </c>
      <c r="G916" s="9" t="s">
        <v>1855</v>
      </c>
      <c r="H916" s="1">
        <v>45355</v>
      </c>
      <c r="I916" t="s">
        <v>36</v>
      </c>
      <c r="J916" t="s">
        <v>1856</v>
      </c>
      <c r="K916" t="s">
        <v>56</v>
      </c>
      <c r="L916" s="3">
        <f t="shared" si="28"/>
        <v>45857</v>
      </c>
      <c r="M916" s="3">
        <f t="shared" si="29"/>
        <v>42.65767441860465</v>
      </c>
    </row>
    <row r="917" spans="1:13" x14ac:dyDescent="0.35">
      <c r="A917" t="s">
        <v>86</v>
      </c>
      <c r="B917" t="s">
        <v>20</v>
      </c>
      <c r="C917" t="s">
        <v>77</v>
      </c>
      <c r="D917" t="s">
        <v>34</v>
      </c>
      <c r="E917">
        <v>30</v>
      </c>
      <c r="F917" s="4">
        <v>1600</v>
      </c>
      <c r="G917" s="9" t="s">
        <v>1857</v>
      </c>
      <c r="H917" s="1">
        <v>45465</v>
      </c>
      <c r="I917" t="s">
        <v>17</v>
      </c>
      <c r="J917" t="s">
        <v>1858</v>
      </c>
      <c r="K917" t="s">
        <v>32</v>
      </c>
      <c r="L917" s="3">
        <f t="shared" si="28"/>
        <v>21517</v>
      </c>
      <c r="M917" s="3">
        <f t="shared" si="29"/>
        <v>13.448124999999999</v>
      </c>
    </row>
    <row r="918" spans="1:13" x14ac:dyDescent="0.35">
      <c r="A918" t="s">
        <v>11</v>
      </c>
      <c r="B918" t="s">
        <v>12</v>
      </c>
      <c r="C918" t="s">
        <v>33</v>
      </c>
      <c r="D918" t="s">
        <v>89</v>
      </c>
      <c r="E918" t="s">
        <v>43</v>
      </c>
      <c r="F918" s="4">
        <v>576</v>
      </c>
      <c r="G918" s="9" t="s">
        <v>1859</v>
      </c>
      <c r="H918" s="1">
        <v>45279</v>
      </c>
      <c r="I918" t="s">
        <v>36</v>
      </c>
      <c r="J918" t="s">
        <v>1860</v>
      </c>
      <c r="K918" t="s">
        <v>56</v>
      </c>
      <c r="L918" s="3">
        <f t="shared" si="28"/>
        <v>40961</v>
      </c>
      <c r="M918" s="3">
        <f t="shared" si="29"/>
        <v>71.112847222222229</v>
      </c>
    </row>
    <row r="919" spans="1:13" x14ac:dyDescent="0.35">
      <c r="A919" t="s">
        <v>53</v>
      </c>
      <c r="B919" t="s">
        <v>40</v>
      </c>
      <c r="C919" t="s">
        <v>77</v>
      </c>
      <c r="D919" t="s">
        <v>14</v>
      </c>
      <c r="E919">
        <v>30</v>
      </c>
      <c r="F919" s="4">
        <v>1265</v>
      </c>
      <c r="G919" s="9" t="s">
        <v>1091</v>
      </c>
      <c r="H919" s="1">
        <v>45273</v>
      </c>
      <c r="I919" t="s">
        <v>30</v>
      </c>
      <c r="J919" t="s">
        <v>1861</v>
      </c>
      <c r="K919" t="s">
        <v>38</v>
      </c>
      <c r="L919" s="3">
        <f t="shared" si="28"/>
        <v>32484</v>
      </c>
      <c r="M919" s="3">
        <f t="shared" si="29"/>
        <v>25.679051383399209</v>
      </c>
    </row>
    <row r="920" spans="1:13" x14ac:dyDescent="0.35">
      <c r="A920" t="s">
        <v>53</v>
      </c>
      <c r="B920" t="s">
        <v>40</v>
      </c>
      <c r="C920" t="s">
        <v>21</v>
      </c>
      <c r="D920" t="s">
        <v>14</v>
      </c>
      <c r="E920" t="s">
        <v>43</v>
      </c>
      <c r="F920" s="4">
        <v>529</v>
      </c>
      <c r="G920" s="9" t="s">
        <v>1862</v>
      </c>
      <c r="H920" s="1">
        <v>45473</v>
      </c>
      <c r="I920" t="s">
        <v>30</v>
      </c>
      <c r="J920" t="s">
        <v>1863</v>
      </c>
      <c r="K920" t="s">
        <v>38</v>
      </c>
      <c r="L920" s="3">
        <f t="shared" si="28"/>
        <v>6114</v>
      </c>
      <c r="M920" s="3">
        <f t="shared" si="29"/>
        <v>11.557655954631381</v>
      </c>
    </row>
    <row r="921" spans="1:13" x14ac:dyDescent="0.35">
      <c r="A921" t="s">
        <v>53</v>
      </c>
      <c r="B921" t="s">
        <v>40</v>
      </c>
      <c r="C921" t="s">
        <v>77</v>
      </c>
      <c r="D921" t="s">
        <v>22</v>
      </c>
      <c r="E921" t="s">
        <v>23</v>
      </c>
      <c r="F921" s="4">
        <v>424</v>
      </c>
      <c r="G921" s="9" t="s">
        <v>1864</v>
      </c>
      <c r="H921" s="1">
        <v>45245</v>
      </c>
      <c r="I921" t="s">
        <v>48</v>
      </c>
      <c r="J921" t="s">
        <v>1865</v>
      </c>
      <c r="K921" t="s">
        <v>38</v>
      </c>
      <c r="L921" s="3">
        <f t="shared" si="28"/>
        <v>36660</v>
      </c>
      <c r="M921" s="3">
        <f t="shared" si="29"/>
        <v>86.462264150943398</v>
      </c>
    </row>
    <row r="922" spans="1:13" x14ac:dyDescent="0.35">
      <c r="A922" t="s">
        <v>53</v>
      </c>
      <c r="B922" t="s">
        <v>62</v>
      </c>
      <c r="C922" t="s">
        <v>33</v>
      </c>
      <c r="D922" t="s">
        <v>28</v>
      </c>
      <c r="E922">
        <v>60</v>
      </c>
      <c r="F922" s="4">
        <v>1902</v>
      </c>
      <c r="G922" s="9" t="s">
        <v>1866</v>
      </c>
      <c r="H922" s="1">
        <v>45340</v>
      </c>
      <c r="I922" t="s">
        <v>36</v>
      </c>
      <c r="J922" t="s">
        <v>1867</v>
      </c>
      <c r="K922" t="s">
        <v>52</v>
      </c>
      <c r="L922" s="3">
        <f t="shared" si="28"/>
        <v>4193</v>
      </c>
      <c r="M922" s="3">
        <f t="shared" si="29"/>
        <v>2.2045215562565721</v>
      </c>
    </row>
    <row r="923" spans="1:13" x14ac:dyDescent="0.35">
      <c r="A923" t="s">
        <v>53</v>
      </c>
      <c r="B923" t="s">
        <v>12</v>
      </c>
      <c r="C923" t="s">
        <v>33</v>
      </c>
      <c r="D923" t="s">
        <v>14</v>
      </c>
      <c r="E923">
        <v>60</v>
      </c>
      <c r="F923" s="4">
        <v>1560</v>
      </c>
      <c r="G923" s="9" t="s">
        <v>1868</v>
      </c>
      <c r="H923" s="1">
        <v>45296</v>
      </c>
      <c r="I923" t="s">
        <v>36</v>
      </c>
      <c r="J923" t="s">
        <v>1869</v>
      </c>
      <c r="K923" t="s">
        <v>38</v>
      </c>
      <c r="L923" s="3">
        <f t="shared" si="28"/>
        <v>33167</v>
      </c>
      <c r="M923" s="3">
        <f t="shared" si="29"/>
        <v>21.260897435897437</v>
      </c>
    </row>
    <row r="924" spans="1:13" x14ac:dyDescent="0.35">
      <c r="A924" t="s">
        <v>26</v>
      </c>
      <c r="B924" t="s">
        <v>62</v>
      </c>
      <c r="C924" t="s">
        <v>27</v>
      </c>
      <c r="D924" t="s">
        <v>34</v>
      </c>
      <c r="E924">
        <v>60</v>
      </c>
      <c r="F924" s="4">
        <v>375</v>
      </c>
      <c r="G924" s="9" t="s">
        <v>1870</v>
      </c>
      <c r="H924" s="1">
        <v>45180</v>
      </c>
      <c r="I924" t="s">
        <v>17</v>
      </c>
      <c r="J924" t="s">
        <v>1871</v>
      </c>
      <c r="K924" t="s">
        <v>19</v>
      </c>
      <c r="L924" s="3">
        <f t="shared" si="28"/>
        <v>13847</v>
      </c>
      <c r="M924" s="3">
        <f t="shared" si="29"/>
        <v>36.925333333333334</v>
      </c>
    </row>
    <row r="925" spans="1:13" x14ac:dyDescent="0.35">
      <c r="A925" t="s">
        <v>39</v>
      </c>
      <c r="B925" t="s">
        <v>20</v>
      </c>
      <c r="C925" t="s">
        <v>21</v>
      </c>
      <c r="D925" t="s">
        <v>34</v>
      </c>
      <c r="E925" t="s">
        <v>43</v>
      </c>
      <c r="F925" s="4">
        <v>1663</v>
      </c>
      <c r="G925" s="9" t="s">
        <v>1872</v>
      </c>
      <c r="H925" s="1">
        <v>45394</v>
      </c>
      <c r="I925" t="s">
        <v>48</v>
      </c>
      <c r="J925" t="s">
        <v>1873</v>
      </c>
      <c r="K925" t="s">
        <v>19</v>
      </c>
      <c r="L925" s="3">
        <f t="shared" si="28"/>
        <v>47873</v>
      </c>
      <c r="M925" s="3">
        <f t="shared" si="29"/>
        <v>28.787131689717377</v>
      </c>
    </row>
    <row r="926" spans="1:13" x14ac:dyDescent="0.35">
      <c r="A926" t="s">
        <v>86</v>
      </c>
      <c r="B926" t="s">
        <v>12</v>
      </c>
      <c r="C926" t="s">
        <v>21</v>
      </c>
      <c r="D926" t="s">
        <v>14</v>
      </c>
      <c r="E926" t="s">
        <v>23</v>
      </c>
      <c r="F926" s="4">
        <v>997</v>
      </c>
      <c r="G926" s="9" t="s">
        <v>1874</v>
      </c>
      <c r="H926" s="1">
        <v>45406</v>
      </c>
      <c r="I926" t="s">
        <v>45</v>
      </c>
      <c r="J926" t="s">
        <v>1875</v>
      </c>
      <c r="K926" t="s">
        <v>52</v>
      </c>
      <c r="L926" s="3">
        <f t="shared" si="28"/>
        <v>34888</v>
      </c>
      <c r="M926" s="3">
        <f t="shared" si="29"/>
        <v>34.992978936810431</v>
      </c>
    </row>
    <row r="927" spans="1:13" x14ac:dyDescent="0.35">
      <c r="A927" t="s">
        <v>53</v>
      </c>
      <c r="B927" t="s">
        <v>12</v>
      </c>
      <c r="C927" t="s">
        <v>13</v>
      </c>
      <c r="D927" t="s">
        <v>34</v>
      </c>
      <c r="E927">
        <v>60</v>
      </c>
      <c r="F927" s="4">
        <v>1718</v>
      </c>
      <c r="G927" s="9" t="s">
        <v>1876</v>
      </c>
      <c r="H927" s="1">
        <v>45239</v>
      </c>
      <c r="I927" t="s">
        <v>17</v>
      </c>
      <c r="J927" t="s">
        <v>1877</v>
      </c>
      <c r="K927" t="s">
        <v>38</v>
      </c>
      <c r="L927" s="3">
        <f t="shared" si="28"/>
        <v>35098</v>
      </c>
      <c r="M927" s="3">
        <f t="shared" si="29"/>
        <v>20.429569266589056</v>
      </c>
    </row>
    <row r="928" spans="1:13" x14ac:dyDescent="0.35">
      <c r="A928" t="s">
        <v>26</v>
      </c>
      <c r="B928" t="s">
        <v>59</v>
      </c>
      <c r="C928" t="s">
        <v>33</v>
      </c>
      <c r="D928" t="s">
        <v>89</v>
      </c>
      <c r="E928" t="s">
        <v>43</v>
      </c>
      <c r="F928" s="4">
        <v>324</v>
      </c>
      <c r="G928" s="9" t="s">
        <v>1878</v>
      </c>
      <c r="H928" s="1">
        <v>45336</v>
      </c>
      <c r="I928" t="s">
        <v>17</v>
      </c>
      <c r="J928" t="s">
        <v>1879</v>
      </c>
      <c r="K928" t="s">
        <v>56</v>
      </c>
      <c r="L928" s="3">
        <f t="shared" si="28"/>
        <v>15547</v>
      </c>
      <c r="M928" s="3">
        <f t="shared" si="29"/>
        <v>47.98456790123457</v>
      </c>
    </row>
    <row r="929" spans="1:13" x14ac:dyDescent="0.35">
      <c r="A929" t="s">
        <v>53</v>
      </c>
      <c r="B929" t="s">
        <v>12</v>
      </c>
      <c r="C929" t="s">
        <v>13</v>
      </c>
      <c r="D929" t="s">
        <v>22</v>
      </c>
      <c r="E929">
        <v>60</v>
      </c>
      <c r="F929" s="4">
        <v>1929</v>
      </c>
      <c r="G929" s="9" t="s">
        <v>1880</v>
      </c>
      <c r="H929" s="1">
        <v>45491</v>
      </c>
      <c r="I929" t="s">
        <v>36</v>
      </c>
      <c r="J929" t="s">
        <v>1881</v>
      </c>
      <c r="K929" t="s">
        <v>19</v>
      </c>
      <c r="L929" s="3">
        <f t="shared" si="28"/>
        <v>15465</v>
      </c>
      <c r="M929" s="3">
        <f t="shared" si="29"/>
        <v>8.0171073094867804</v>
      </c>
    </row>
    <row r="930" spans="1:13" x14ac:dyDescent="0.35">
      <c r="A930" t="s">
        <v>86</v>
      </c>
      <c r="B930" t="s">
        <v>62</v>
      </c>
      <c r="C930" t="s">
        <v>33</v>
      </c>
      <c r="D930" t="s">
        <v>14</v>
      </c>
      <c r="E930" t="s">
        <v>43</v>
      </c>
      <c r="F930" s="4">
        <v>1206</v>
      </c>
      <c r="G930" s="9" t="s">
        <v>1882</v>
      </c>
      <c r="H930" s="1">
        <v>45326</v>
      </c>
      <c r="I930" t="s">
        <v>30</v>
      </c>
      <c r="J930" t="s">
        <v>1883</v>
      </c>
      <c r="K930" t="s">
        <v>52</v>
      </c>
      <c r="L930" s="3">
        <f t="shared" si="28"/>
        <v>44930</v>
      </c>
      <c r="M930" s="3">
        <f t="shared" si="29"/>
        <v>37.255389718076287</v>
      </c>
    </row>
    <row r="931" spans="1:13" x14ac:dyDescent="0.35">
      <c r="A931" t="s">
        <v>86</v>
      </c>
      <c r="B931" t="s">
        <v>20</v>
      </c>
      <c r="C931" t="s">
        <v>27</v>
      </c>
      <c r="D931" t="s">
        <v>34</v>
      </c>
      <c r="E931">
        <v>60</v>
      </c>
      <c r="F931" s="4">
        <v>1937</v>
      </c>
      <c r="G931" s="9" t="s">
        <v>1884</v>
      </c>
      <c r="H931" s="1">
        <v>45309</v>
      </c>
      <c r="I931" t="s">
        <v>45</v>
      </c>
      <c r="J931" t="s">
        <v>1885</v>
      </c>
      <c r="K931" t="s">
        <v>32</v>
      </c>
      <c r="L931" s="3">
        <f t="shared" si="28"/>
        <v>16796</v>
      </c>
      <c r="M931" s="3">
        <f t="shared" si="29"/>
        <v>8.6711409395973149</v>
      </c>
    </row>
    <row r="932" spans="1:13" x14ac:dyDescent="0.35">
      <c r="A932" t="s">
        <v>86</v>
      </c>
      <c r="B932" t="s">
        <v>62</v>
      </c>
      <c r="C932" t="s">
        <v>21</v>
      </c>
      <c r="D932" t="s">
        <v>28</v>
      </c>
      <c r="E932" t="s">
        <v>23</v>
      </c>
      <c r="F932" s="4">
        <v>1705</v>
      </c>
      <c r="G932" s="9" t="s">
        <v>1886</v>
      </c>
      <c r="H932" s="1">
        <v>45260</v>
      </c>
      <c r="I932" t="s">
        <v>36</v>
      </c>
      <c r="J932" t="s">
        <v>1887</v>
      </c>
      <c r="K932" t="s">
        <v>56</v>
      </c>
      <c r="L932" s="3">
        <f t="shared" si="28"/>
        <v>9606</v>
      </c>
      <c r="M932" s="3">
        <f t="shared" si="29"/>
        <v>5.6340175953079177</v>
      </c>
    </row>
    <row r="933" spans="1:13" x14ac:dyDescent="0.35">
      <c r="A933" t="s">
        <v>39</v>
      </c>
      <c r="B933" t="s">
        <v>20</v>
      </c>
      <c r="C933" t="s">
        <v>21</v>
      </c>
      <c r="D933" t="s">
        <v>89</v>
      </c>
      <c r="E933" t="s">
        <v>23</v>
      </c>
      <c r="F933" s="4">
        <v>938</v>
      </c>
      <c r="G933" s="9" t="s">
        <v>1888</v>
      </c>
      <c r="H933" s="1">
        <v>45136</v>
      </c>
      <c r="I933" t="s">
        <v>17</v>
      </c>
      <c r="J933" t="s">
        <v>1889</v>
      </c>
      <c r="K933" t="s">
        <v>38</v>
      </c>
      <c r="L933" s="3">
        <f t="shared" si="28"/>
        <v>21278</v>
      </c>
      <c r="M933" s="3">
        <f t="shared" si="29"/>
        <v>22.684434968017058</v>
      </c>
    </row>
    <row r="934" spans="1:13" x14ac:dyDescent="0.35">
      <c r="A934" t="s">
        <v>11</v>
      </c>
      <c r="B934" t="s">
        <v>40</v>
      </c>
      <c r="C934" t="s">
        <v>13</v>
      </c>
      <c r="D934" t="s">
        <v>28</v>
      </c>
      <c r="E934" t="s">
        <v>23</v>
      </c>
      <c r="F934" s="4">
        <v>1566</v>
      </c>
      <c r="G934" s="9" t="s">
        <v>1890</v>
      </c>
      <c r="H934" s="1">
        <v>45167</v>
      </c>
      <c r="I934" t="s">
        <v>17</v>
      </c>
      <c r="J934" t="s">
        <v>1891</v>
      </c>
      <c r="K934" t="s">
        <v>52</v>
      </c>
      <c r="L934" s="3">
        <f t="shared" si="28"/>
        <v>25494</v>
      </c>
      <c r="M934" s="3">
        <f t="shared" si="29"/>
        <v>16.279693486590038</v>
      </c>
    </row>
    <row r="935" spans="1:13" x14ac:dyDescent="0.35">
      <c r="A935" t="s">
        <v>86</v>
      </c>
      <c r="B935" t="s">
        <v>20</v>
      </c>
      <c r="C935" t="s">
        <v>33</v>
      </c>
      <c r="D935" t="s">
        <v>28</v>
      </c>
      <c r="E935">
        <v>30</v>
      </c>
      <c r="F935" s="4">
        <v>1644</v>
      </c>
      <c r="G935" s="9" t="s">
        <v>1892</v>
      </c>
      <c r="H935" s="1">
        <v>45286</v>
      </c>
      <c r="I935" t="s">
        <v>17</v>
      </c>
      <c r="J935" t="s">
        <v>1893</v>
      </c>
      <c r="K935" t="s">
        <v>56</v>
      </c>
      <c r="L935" s="3">
        <f t="shared" si="28"/>
        <v>23908</v>
      </c>
      <c r="M935" s="3">
        <f t="shared" si="29"/>
        <v>14.54257907542579</v>
      </c>
    </row>
    <row r="936" spans="1:13" x14ac:dyDescent="0.35">
      <c r="A936" t="s">
        <v>11</v>
      </c>
      <c r="B936" t="s">
        <v>40</v>
      </c>
      <c r="C936" t="s">
        <v>33</v>
      </c>
      <c r="D936" t="s">
        <v>34</v>
      </c>
      <c r="E936">
        <v>30</v>
      </c>
      <c r="F936" s="4">
        <v>765</v>
      </c>
      <c r="G936" s="9" t="s">
        <v>1894</v>
      </c>
      <c r="H936" s="1">
        <v>45243</v>
      </c>
      <c r="I936" t="s">
        <v>17</v>
      </c>
      <c r="J936" t="s">
        <v>1895</v>
      </c>
      <c r="K936" t="s">
        <v>38</v>
      </c>
      <c r="L936" s="3">
        <f t="shared" si="28"/>
        <v>37749</v>
      </c>
      <c r="M936" s="3">
        <f t="shared" si="29"/>
        <v>49.345098039215685</v>
      </c>
    </row>
    <row r="937" spans="1:13" x14ac:dyDescent="0.35">
      <c r="A937" t="s">
        <v>86</v>
      </c>
      <c r="B937" t="s">
        <v>62</v>
      </c>
      <c r="C937" t="s">
        <v>77</v>
      </c>
      <c r="D937" t="s">
        <v>14</v>
      </c>
      <c r="E937" t="s">
        <v>15</v>
      </c>
      <c r="F937" s="4">
        <v>946</v>
      </c>
      <c r="G937" s="9" t="s">
        <v>1896</v>
      </c>
      <c r="H937" s="1">
        <v>45296</v>
      </c>
      <c r="I937" t="s">
        <v>17</v>
      </c>
      <c r="J937" t="s">
        <v>1897</v>
      </c>
      <c r="K937" t="s">
        <v>19</v>
      </c>
      <c r="L937" s="3">
        <f t="shared" si="28"/>
        <v>40826</v>
      </c>
      <c r="M937" s="3">
        <f t="shared" si="29"/>
        <v>43.15644820295983</v>
      </c>
    </row>
    <row r="938" spans="1:13" x14ac:dyDescent="0.35">
      <c r="A938" t="s">
        <v>86</v>
      </c>
      <c r="B938" t="s">
        <v>40</v>
      </c>
      <c r="C938" t="s">
        <v>77</v>
      </c>
      <c r="D938" t="s">
        <v>89</v>
      </c>
      <c r="E938">
        <v>60</v>
      </c>
      <c r="F938" s="4">
        <v>399</v>
      </c>
      <c r="G938" s="9" t="s">
        <v>1898</v>
      </c>
      <c r="H938" s="1">
        <v>45366</v>
      </c>
      <c r="I938" t="s">
        <v>36</v>
      </c>
      <c r="J938" t="s">
        <v>1899</v>
      </c>
      <c r="K938" t="s">
        <v>19</v>
      </c>
      <c r="L938" s="3">
        <f t="shared" si="28"/>
        <v>2187</v>
      </c>
      <c r="M938" s="3">
        <f t="shared" si="29"/>
        <v>5.481203007518797</v>
      </c>
    </row>
    <row r="939" spans="1:13" x14ac:dyDescent="0.35">
      <c r="A939" t="s">
        <v>53</v>
      </c>
      <c r="B939" t="s">
        <v>12</v>
      </c>
      <c r="C939" t="s">
        <v>21</v>
      </c>
      <c r="D939" t="s">
        <v>89</v>
      </c>
      <c r="E939">
        <v>60</v>
      </c>
      <c r="F939" s="4">
        <v>1193</v>
      </c>
      <c r="G939" s="9" t="s">
        <v>1900</v>
      </c>
      <c r="H939" s="1">
        <v>45289</v>
      </c>
      <c r="I939" t="s">
        <v>30</v>
      </c>
      <c r="J939" t="s">
        <v>1901</v>
      </c>
      <c r="K939" t="s">
        <v>38</v>
      </c>
      <c r="L939" s="3">
        <f t="shared" si="28"/>
        <v>37828</v>
      </c>
      <c r="M939" s="3">
        <f t="shared" si="29"/>
        <v>31.708298407376361</v>
      </c>
    </row>
    <row r="940" spans="1:13" x14ac:dyDescent="0.35">
      <c r="A940" t="s">
        <v>86</v>
      </c>
      <c r="B940" t="s">
        <v>59</v>
      </c>
      <c r="C940" t="s">
        <v>27</v>
      </c>
      <c r="D940" t="s">
        <v>34</v>
      </c>
      <c r="E940" t="s">
        <v>23</v>
      </c>
      <c r="F940" s="4">
        <v>187</v>
      </c>
      <c r="G940" s="9" t="s">
        <v>1902</v>
      </c>
      <c r="H940" s="1">
        <v>45387</v>
      </c>
      <c r="I940" t="s">
        <v>48</v>
      </c>
      <c r="J940" t="s">
        <v>1903</v>
      </c>
      <c r="K940" t="s">
        <v>32</v>
      </c>
      <c r="L940" s="3">
        <f t="shared" si="28"/>
        <v>42709</v>
      </c>
      <c r="M940" s="3">
        <f t="shared" si="29"/>
        <v>228.39037433155079</v>
      </c>
    </row>
    <row r="941" spans="1:13" x14ac:dyDescent="0.35">
      <c r="A941" t="s">
        <v>11</v>
      </c>
      <c r="B941" t="s">
        <v>59</v>
      </c>
      <c r="C941" t="s">
        <v>77</v>
      </c>
      <c r="D941" t="s">
        <v>34</v>
      </c>
      <c r="E941" t="s">
        <v>43</v>
      </c>
      <c r="F941" s="4">
        <v>1360</v>
      </c>
      <c r="G941" s="9" t="s">
        <v>1904</v>
      </c>
      <c r="H941" s="1">
        <v>45177</v>
      </c>
      <c r="I941" t="s">
        <v>30</v>
      </c>
      <c r="J941" t="s">
        <v>1905</v>
      </c>
      <c r="K941" t="s">
        <v>38</v>
      </c>
      <c r="L941" s="3">
        <f t="shared" si="28"/>
        <v>35945</v>
      </c>
      <c r="M941" s="3">
        <f t="shared" si="29"/>
        <v>26.430147058823529</v>
      </c>
    </row>
    <row r="942" spans="1:13" x14ac:dyDescent="0.35">
      <c r="A942" t="s">
        <v>11</v>
      </c>
      <c r="B942" t="s">
        <v>12</v>
      </c>
      <c r="C942" t="s">
        <v>33</v>
      </c>
      <c r="D942" t="s">
        <v>89</v>
      </c>
      <c r="E942">
        <v>60</v>
      </c>
      <c r="F942" s="4">
        <v>872</v>
      </c>
      <c r="G942" s="9" t="s">
        <v>1906</v>
      </c>
      <c r="H942" s="1">
        <v>45333</v>
      </c>
      <c r="I942" t="s">
        <v>45</v>
      </c>
      <c r="J942" t="s">
        <v>1907</v>
      </c>
      <c r="K942" t="s">
        <v>56</v>
      </c>
      <c r="L942" s="3">
        <f t="shared" si="28"/>
        <v>22950</v>
      </c>
      <c r="M942" s="3">
        <f t="shared" si="29"/>
        <v>26.318807339449542</v>
      </c>
    </row>
    <row r="943" spans="1:13" x14ac:dyDescent="0.35">
      <c r="A943" t="s">
        <v>11</v>
      </c>
      <c r="B943" t="s">
        <v>20</v>
      </c>
      <c r="C943" t="s">
        <v>13</v>
      </c>
      <c r="D943" t="s">
        <v>28</v>
      </c>
      <c r="E943" t="s">
        <v>23</v>
      </c>
      <c r="F943" s="4">
        <v>537</v>
      </c>
      <c r="G943" s="9" t="s">
        <v>1908</v>
      </c>
      <c r="H943" s="1">
        <v>45190</v>
      </c>
      <c r="I943" t="s">
        <v>30</v>
      </c>
      <c r="J943" t="s">
        <v>1909</v>
      </c>
      <c r="K943" t="s">
        <v>52</v>
      </c>
      <c r="L943" s="3">
        <f t="shared" si="28"/>
        <v>44378</v>
      </c>
      <c r="M943" s="3">
        <f t="shared" si="29"/>
        <v>82.640595903165732</v>
      </c>
    </row>
    <row r="944" spans="1:13" x14ac:dyDescent="0.35">
      <c r="A944" t="s">
        <v>26</v>
      </c>
      <c r="B944" t="s">
        <v>59</v>
      </c>
      <c r="C944" t="s">
        <v>21</v>
      </c>
      <c r="D944" t="s">
        <v>14</v>
      </c>
      <c r="E944" t="s">
        <v>15</v>
      </c>
      <c r="F944" s="4">
        <v>696</v>
      </c>
      <c r="G944" s="9" t="s">
        <v>1910</v>
      </c>
      <c r="H944" s="1">
        <v>45342</v>
      </c>
      <c r="I944" t="s">
        <v>17</v>
      </c>
      <c r="J944" t="s">
        <v>1911</v>
      </c>
      <c r="K944" t="s">
        <v>52</v>
      </c>
      <c r="L944" s="3">
        <f t="shared" si="28"/>
        <v>49562</v>
      </c>
      <c r="M944" s="3">
        <f t="shared" si="29"/>
        <v>71.209770114942529</v>
      </c>
    </row>
    <row r="945" spans="1:13" x14ac:dyDescent="0.35">
      <c r="A945" t="s">
        <v>53</v>
      </c>
      <c r="B945" t="s">
        <v>59</v>
      </c>
      <c r="C945" t="s">
        <v>21</v>
      </c>
      <c r="D945" t="s">
        <v>28</v>
      </c>
      <c r="E945">
        <v>60</v>
      </c>
      <c r="F945" s="4">
        <v>357</v>
      </c>
      <c r="G945" s="9" t="s">
        <v>1912</v>
      </c>
      <c r="H945" s="1">
        <v>45418</v>
      </c>
      <c r="I945" t="s">
        <v>48</v>
      </c>
      <c r="J945" t="s">
        <v>1913</v>
      </c>
      <c r="K945" t="s">
        <v>52</v>
      </c>
      <c r="L945" s="3">
        <f t="shared" si="28"/>
        <v>35849</v>
      </c>
      <c r="M945" s="3">
        <f t="shared" si="29"/>
        <v>100.41736694677871</v>
      </c>
    </row>
    <row r="946" spans="1:13" x14ac:dyDescent="0.35">
      <c r="A946" t="s">
        <v>11</v>
      </c>
      <c r="B946" t="s">
        <v>40</v>
      </c>
      <c r="C946" t="s">
        <v>77</v>
      </c>
      <c r="D946" t="s">
        <v>89</v>
      </c>
      <c r="E946" t="s">
        <v>23</v>
      </c>
      <c r="F946" s="4">
        <v>1179</v>
      </c>
      <c r="G946" s="9" t="s">
        <v>1914</v>
      </c>
      <c r="H946" s="1">
        <v>45285</v>
      </c>
      <c r="I946" t="s">
        <v>30</v>
      </c>
      <c r="J946" t="s">
        <v>1915</v>
      </c>
      <c r="K946" t="s">
        <v>32</v>
      </c>
      <c r="L946" s="3">
        <f t="shared" si="28"/>
        <v>43406</v>
      </c>
      <c r="M946" s="3">
        <f t="shared" si="29"/>
        <v>36.815945716709074</v>
      </c>
    </row>
    <row r="947" spans="1:13" x14ac:dyDescent="0.35">
      <c r="A947" t="s">
        <v>11</v>
      </c>
      <c r="B947" t="s">
        <v>12</v>
      </c>
      <c r="C947" t="s">
        <v>27</v>
      </c>
      <c r="D947" t="s">
        <v>14</v>
      </c>
      <c r="E947" t="s">
        <v>43</v>
      </c>
      <c r="F947" s="4">
        <v>1352</v>
      </c>
      <c r="G947" s="9" t="s">
        <v>1916</v>
      </c>
      <c r="H947" s="1">
        <v>45373</v>
      </c>
      <c r="I947" t="s">
        <v>17</v>
      </c>
      <c r="J947" t="s">
        <v>1917</v>
      </c>
      <c r="K947" t="s">
        <v>32</v>
      </c>
      <c r="L947" s="3">
        <f t="shared" si="28"/>
        <v>41492</v>
      </c>
      <c r="M947" s="3">
        <f t="shared" si="29"/>
        <v>30.689349112426036</v>
      </c>
    </row>
    <row r="948" spans="1:13" x14ac:dyDescent="0.35">
      <c r="A948" t="s">
        <v>11</v>
      </c>
      <c r="B948" t="s">
        <v>62</v>
      </c>
      <c r="C948" t="s">
        <v>13</v>
      </c>
      <c r="D948" t="s">
        <v>89</v>
      </c>
      <c r="E948" t="s">
        <v>23</v>
      </c>
      <c r="F948" s="4">
        <v>1691</v>
      </c>
      <c r="G948" s="9" t="s">
        <v>1918</v>
      </c>
      <c r="H948" s="1">
        <v>45439</v>
      </c>
      <c r="I948" t="s">
        <v>17</v>
      </c>
      <c r="J948" t="s">
        <v>1919</v>
      </c>
      <c r="K948" t="s">
        <v>19</v>
      </c>
      <c r="L948" s="3">
        <f t="shared" si="28"/>
        <v>17378</v>
      </c>
      <c r="M948" s="3">
        <f t="shared" si="29"/>
        <v>10.276759314015376</v>
      </c>
    </row>
    <row r="949" spans="1:13" x14ac:dyDescent="0.35">
      <c r="A949" t="s">
        <v>26</v>
      </c>
      <c r="B949" t="s">
        <v>12</v>
      </c>
      <c r="C949" t="s">
        <v>27</v>
      </c>
      <c r="D949" t="s">
        <v>28</v>
      </c>
      <c r="E949" t="s">
        <v>43</v>
      </c>
      <c r="F949" s="4">
        <v>680</v>
      </c>
      <c r="G949" s="9" t="s">
        <v>1920</v>
      </c>
      <c r="H949" s="1">
        <v>45191</v>
      </c>
      <c r="I949" t="s">
        <v>48</v>
      </c>
      <c r="J949" t="s">
        <v>1921</v>
      </c>
      <c r="K949" t="s">
        <v>56</v>
      </c>
      <c r="L949" s="3">
        <f t="shared" si="28"/>
        <v>37383</v>
      </c>
      <c r="M949" s="3">
        <f t="shared" si="29"/>
        <v>54.975000000000001</v>
      </c>
    </row>
    <row r="950" spans="1:13" x14ac:dyDescent="0.35">
      <c r="A950" t="s">
        <v>26</v>
      </c>
      <c r="B950" t="s">
        <v>59</v>
      </c>
      <c r="C950" t="s">
        <v>77</v>
      </c>
      <c r="D950" t="s">
        <v>28</v>
      </c>
      <c r="E950" t="s">
        <v>15</v>
      </c>
      <c r="F950" s="4">
        <v>971</v>
      </c>
      <c r="G950" s="9" t="s">
        <v>1922</v>
      </c>
      <c r="H950" s="1">
        <v>45248</v>
      </c>
      <c r="I950" t="s">
        <v>45</v>
      </c>
      <c r="J950" t="s">
        <v>1923</v>
      </c>
      <c r="K950" t="s">
        <v>38</v>
      </c>
      <c r="L950" s="3">
        <f t="shared" si="28"/>
        <v>22075</v>
      </c>
      <c r="M950" s="3">
        <f t="shared" si="29"/>
        <v>22.734294541709577</v>
      </c>
    </row>
    <row r="951" spans="1:13" x14ac:dyDescent="0.35">
      <c r="A951" t="s">
        <v>26</v>
      </c>
      <c r="B951" t="s">
        <v>59</v>
      </c>
      <c r="C951" t="s">
        <v>13</v>
      </c>
      <c r="D951" t="s">
        <v>28</v>
      </c>
      <c r="E951" t="s">
        <v>15</v>
      </c>
      <c r="F951" s="4">
        <v>1321</v>
      </c>
      <c r="G951" s="9" t="s">
        <v>1924</v>
      </c>
      <c r="H951" s="1">
        <v>45410</v>
      </c>
      <c r="I951" t="s">
        <v>17</v>
      </c>
      <c r="J951" t="s">
        <v>1925</v>
      </c>
      <c r="K951" t="s">
        <v>19</v>
      </c>
      <c r="L951" s="3">
        <f t="shared" si="28"/>
        <v>26875</v>
      </c>
      <c r="M951" s="3">
        <f t="shared" si="29"/>
        <v>20.344436033308099</v>
      </c>
    </row>
    <row r="952" spans="1:13" x14ac:dyDescent="0.35">
      <c r="A952" t="s">
        <v>86</v>
      </c>
      <c r="B952" t="s">
        <v>62</v>
      </c>
      <c r="C952" t="s">
        <v>27</v>
      </c>
      <c r="D952" t="s">
        <v>22</v>
      </c>
      <c r="E952" t="s">
        <v>23</v>
      </c>
      <c r="F952" s="4">
        <v>1134</v>
      </c>
      <c r="G952" s="9" t="s">
        <v>1926</v>
      </c>
      <c r="H952" s="1">
        <v>45196</v>
      </c>
      <c r="I952" t="s">
        <v>48</v>
      </c>
      <c r="J952" t="s">
        <v>1927</v>
      </c>
      <c r="K952" t="s">
        <v>38</v>
      </c>
      <c r="L952" s="3">
        <f t="shared" si="28"/>
        <v>12807</v>
      </c>
      <c r="M952" s="3">
        <f t="shared" si="29"/>
        <v>11.293650793650794</v>
      </c>
    </row>
    <row r="953" spans="1:13" x14ac:dyDescent="0.35">
      <c r="A953" t="s">
        <v>11</v>
      </c>
      <c r="B953" t="s">
        <v>12</v>
      </c>
      <c r="C953" t="s">
        <v>33</v>
      </c>
      <c r="D953" t="s">
        <v>22</v>
      </c>
      <c r="E953" t="s">
        <v>23</v>
      </c>
      <c r="F953" s="4">
        <v>163</v>
      </c>
      <c r="G953" s="9" t="s">
        <v>1928</v>
      </c>
      <c r="H953" s="1">
        <v>45395</v>
      </c>
      <c r="I953" t="s">
        <v>48</v>
      </c>
      <c r="J953" t="s">
        <v>1929</v>
      </c>
      <c r="K953" t="s">
        <v>52</v>
      </c>
      <c r="L953" s="3">
        <f t="shared" si="28"/>
        <v>36531</v>
      </c>
      <c r="M953" s="3">
        <f t="shared" si="29"/>
        <v>224.11656441717793</v>
      </c>
    </row>
    <row r="954" spans="1:13" x14ac:dyDescent="0.35">
      <c r="A954" t="s">
        <v>39</v>
      </c>
      <c r="B954" t="s">
        <v>40</v>
      </c>
      <c r="C954" t="s">
        <v>33</v>
      </c>
      <c r="D954" t="s">
        <v>89</v>
      </c>
      <c r="E954" t="s">
        <v>43</v>
      </c>
      <c r="F954" s="4">
        <v>641</v>
      </c>
      <c r="G954" s="9" t="s">
        <v>1930</v>
      </c>
      <c r="H954" s="1">
        <v>45162</v>
      </c>
      <c r="I954" t="s">
        <v>36</v>
      </c>
      <c r="J954" t="s">
        <v>1931</v>
      </c>
      <c r="K954" t="s">
        <v>38</v>
      </c>
      <c r="L954" s="3">
        <f t="shared" si="28"/>
        <v>19362</v>
      </c>
      <c r="M954" s="3">
        <f t="shared" si="29"/>
        <v>30.205928237129484</v>
      </c>
    </row>
    <row r="955" spans="1:13" x14ac:dyDescent="0.35">
      <c r="A955" t="s">
        <v>39</v>
      </c>
      <c r="B955" t="s">
        <v>20</v>
      </c>
      <c r="C955" t="s">
        <v>33</v>
      </c>
      <c r="D955" t="s">
        <v>14</v>
      </c>
      <c r="E955" t="s">
        <v>23</v>
      </c>
      <c r="F955" s="4">
        <v>1114</v>
      </c>
      <c r="G955" s="9" t="s">
        <v>1932</v>
      </c>
      <c r="H955" s="1">
        <v>45351</v>
      </c>
      <c r="I955" t="s">
        <v>48</v>
      </c>
      <c r="J955" t="s">
        <v>1933</v>
      </c>
      <c r="K955" t="s">
        <v>32</v>
      </c>
      <c r="L955" s="3">
        <f t="shared" si="28"/>
        <v>46343</v>
      </c>
      <c r="M955" s="3">
        <f t="shared" si="29"/>
        <v>41.600538599640934</v>
      </c>
    </row>
    <row r="956" spans="1:13" x14ac:dyDescent="0.35">
      <c r="A956" t="s">
        <v>53</v>
      </c>
      <c r="B956" t="s">
        <v>20</v>
      </c>
      <c r="C956" t="s">
        <v>13</v>
      </c>
      <c r="D956" t="s">
        <v>22</v>
      </c>
      <c r="E956" t="s">
        <v>23</v>
      </c>
      <c r="F956" s="4">
        <v>1128</v>
      </c>
      <c r="G956" s="9" t="s">
        <v>1934</v>
      </c>
      <c r="H956" s="1">
        <v>45161</v>
      </c>
      <c r="I956" t="s">
        <v>48</v>
      </c>
      <c r="J956" t="s">
        <v>1935</v>
      </c>
      <c r="K956" t="s">
        <v>19</v>
      </c>
      <c r="L956" s="3">
        <f t="shared" si="28"/>
        <v>25909</v>
      </c>
      <c r="M956" s="3">
        <f t="shared" si="29"/>
        <v>22.968971631205672</v>
      </c>
    </row>
    <row r="957" spans="1:13" x14ac:dyDescent="0.35">
      <c r="A957" t="s">
        <v>11</v>
      </c>
      <c r="B957" t="s">
        <v>20</v>
      </c>
      <c r="C957" t="s">
        <v>77</v>
      </c>
      <c r="D957" t="s">
        <v>14</v>
      </c>
      <c r="E957" t="s">
        <v>23</v>
      </c>
      <c r="F957" s="4">
        <v>455</v>
      </c>
      <c r="G957" s="9" t="s">
        <v>1936</v>
      </c>
      <c r="H957" s="1">
        <v>45284</v>
      </c>
      <c r="I957" t="s">
        <v>48</v>
      </c>
      <c r="J957" t="s">
        <v>1937</v>
      </c>
      <c r="K957" t="s">
        <v>19</v>
      </c>
      <c r="L957" s="3">
        <f t="shared" si="28"/>
        <v>19258</v>
      </c>
      <c r="M957" s="3">
        <f t="shared" si="29"/>
        <v>42.325274725274724</v>
      </c>
    </row>
    <row r="958" spans="1:13" x14ac:dyDescent="0.35">
      <c r="A958" t="s">
        <v>39</v>
      </c>
      <c r="B958" t="s">
        <v>62</v>
      </c>
      <c r="C958" t="s">
        <v>27</v>
      </c>
      <c r="D958" t="s">
        <v>28</v>
      </c>
      <c r="E958" t="s">
        <v>43</v>
      </c>
      <c r="F958" s="4">
        <v>1660</v>
      </c>
      <c r="G958" s="9" t="s">
        <v>1938</v>
      </c>
      <c r="H958" s="1">
        <v>45285</v>
      </c>
      <c r="I958" t="s">
        <v>48</v>
      </c>
      <c r="J958" t="s">
        <v>1939</v>
      </c>
      <c r="K958" t="s">
        <v>19</v>
      </c>
      <c r="L958" s="3">
        <f t="shared" si="28"/>
        <v>1292</v>
      </c>
      <c r="M958" s="3">
        <f t="shared" si="29"/>
        <v>0.77831325301204823</v>
      </c>
    </row>
    <row r="959" spans="1:13" x14ac:dyDescent="0.35">
      <c r="A959" t="s">
        <v>39</v>
      </c>
      <c r="B959" t="s">
        <v>20</v>
      </c>
      <c r="C959" t="s">
        <v>13</v>
      </c>
      <c r="D959" t="s">
        <v>14</v>
      </c>
      <c r="E959" t="s">
        <v>15</v>
      </c>
      <c r="F959" s="4">
        <v>582</v>
      </c>
      <c r="G959" s="9" t="s">
        <v>1940</v>
      </c>
      <c r="H959" s="1">
        <v>45449</v>
      </c>
      <c r="I959" t="s">
        <v>17</v>
      </c>
      <c r="J959" t="s">
        <v>1941</v>
      </c>
      <c r="K959" t="s">
        <v>56</v>
      </c>
      <c r="L959" s="3">
        <f t="shared" si="28"/>
        <v>6514</v>
      </c>
      <c r="M959" s="3">
        <f t="shared" si="29"/>
        <v>11.192439862542955</v>
      </c>
    </row>
    <row r="960" spans="1:13" x14ac:dyDescent="0.35">
      <c r="A960" t="s">
        <v>53</v>
      </c>
      <c r="B960" t="s">
        <v>12</v>
      </c>
      <c r="C960" t="s">
        <v>33</v>
      </c>
      <c r="D960" t="s">
        <v>14</v>
      </c>
      <c r="E960">
        <v>60</v>
      </c>
      <c r="F960" s="4">
        <v>716</v>
      </c>
      <c r="G960" s="9" t="s">
        <v>1942</v>
      </c>
      <c r="H960" s="1">
        <v>45212</v>
      </c>
      <c r="I960" t="s">
        <v>48</v>
      </c>
      <c r="J960" t="s">
        <v>1943</v>
      </c>
      <c r="K960" t="s">
        <v>32</v>
      </c>
      <c r="L960" s="3">
        <f t="shared" si="28"/>
        <v>7865</v>
      </c>
      <c r="M960" s="3">
        <f t="shared" si="29"/>
        <v>10.98463687150838</v>
      </c>
    </row>
    <row r="961" spans="1:13" x14ac:dyDescent="0.35">
      <c r="A961" t="s">
        <v>26</v>
      </c>
      <c r="B961" t="s">
        <v>20</v>
      </c>
      <c r="C961" t="s">
        <v>77</v>
      </c>
      <c r="D961" t="s">
        <v>22</v>
      </c>
      <c r="E961" t="s">
        <v>15</v>
      </c>
      <c r="F961" s="4">
        <v>200</v>
      </c>
      <c r="G961" s="9" t="s">
        <v>1944</v>
      </c>
      <c r="H961" s="1">
        <v>45463</v>
      </c>
      <c r="I961" t="s">
        <v>45</v>
      </c>
      <c r="J961" t="s">
        <v>1945</v>
      </c>
      <c r="K961" t="s">
        <v>56</v>
      </c>
      <c r="L961" s="3">
        <f t="shared" si="28"/>
        <v>15045</v>
      </c>
      <c r="M961" s="3">
        <f t="shared" si="29"/>
        <v>75.224999999999994</v>
      </c>
    </row>
    <row r="962" spans="1:13" x14ac:dyDescent="0.35">
      <c r="A962" t="s">
        <v>26</v>
      </c>
      <c r="B962" t="s">
        <v>59</v>
      </c>
      <c r="C962" t="s">
        <v>27</v>
      </c>
      <c r="D962" t="s">
        <v>22</v>
      </c>
      <c r="E962">
        <v>30</v>
      </c>
      <c r="F962" s="4">
        <v>151</v>
      </c>
      <c r="G962" s="9" t="s">
        <v>1946</v>
      </c>
      <c r="H962" s="1">
        <v>45306</v>
      </c>
      <c r="I962" t="s">
        <v>45</v>
      </c>
      <c r="J962" t="s">
        <v>1947</v>
      </c>
      <c r="K962" t="s">
        <v>38</v>
      </c>
      <c r="L962" s="3">
        <f t="shared" ref="L962:L1001" si="30">VALUE(SUBSTITUTE(G962,"$",""))</f>
        <v>13928</v>
      </c>
      <c r="M962" s="3">
        <f t="shared" si="29"/>
        <v>92.238410596026483</v>
      </c>
    </row>
    <row r="963" spans="1:13" x14ac:dyDescent="0.35">
      <c r="A963" t="s">
        <v>86</v>
      </c>
      <c r="B963" t="s">
        <v>62</v>
      </c>
      <c r="C963" t="s">
        <v>33</v>
      </c>
      <c r="D963" t="s">
        <v>22</v>
      </c>
      <c r="E963">
        <v>60</v>
      </c>
      <c r="F963" s="4">
        <v>1084</v>
      </c>
      <c r="G963" s="9" t="s">
        <v>1948</v>
      </c>
      <c r="H963" s="1">
        <v>45225</v>
      </c>
      <c r="I963" t="s">
        <v>48</v>
      </c>
      <c r="J963" t="s">
        <v>1949</v>
      </c>
      <c r="K963" t="s">
        <v>52</v>
      </c>
      <c r="L963" s="3">
        <f t="shared" si="30"/>
        <v>10084</v>
      </c>
      <c r="M963" s="3">
        <f t="shared" ref="M963:M1001" si="31">VALUE(SUBSTITUTE(SUBSTITUTE(G963,"$",""),",",""))/F963</f>
        <v>9.3025830258302591</v>
      </c>
    </row>
    <row r="964" spans="1:13" x14ac:dyDescent="0.35">
      <c r="A964" t="s">
        <v>39</v>
      </c>
      <c r="B964" t="s">
        <v>40</v>
      </c>
      <c r="C964" t="s">
        <v>33</v>
      </c>
      <c r="D964" t="s">
        <v>89</v>
      </c>
      <c r="E964">
        <v>60</v>
      </c>
      <c r="F964" s="4">
        <v>369</v>
      </c>
      <c r="G964" s="9" t="s">
        <v>1950</v>
      </c>
      <c r="H964" s="1">
        <v>45478</v>
      </c>
      <c r="I964" t="s">
        <v>17</v>
      </c>
      <c r="J964" t="s">
        <v>1951</v>
      </c>
      <c r="K964" t="s">
        <v>19</v>
      </c>
      <c r="L964" s="3">
        <f t="shared" si="30"/>
        <v>27023</v>
      </c>
      <c r="M964" s="3">
        <f t="shared" si="31"/>
        <v>73.233062330623312</v>
      </c>
    </row>
    <row r="965" spans="1:13" x14ac:dyDescent="0.35">
      <c r="A965" t="s">
        <v>39</v>
      </c>
      <c r="B965" t="s">
        <v>59</v>
      </c>
      <c r="C965" t="s">
        <v>13</v>
      </c>
      <c r="D965" t="s">
        <v>22</v>
      </c>
      <c r="E965">
        <v>30</v>
      </c>
      <c r="F965" s="4">
        <v>1689</v>
      </c>
      <c r="G965" s="9" t="s">
        <v>1952</v>
      </c>
      <c r="H965" s="1">
        <v>45171</v>
      </c>
      <c r="I965" t="s">
        <v>48</v>
      </c>
      <c r="J965" t="s">
        <v>1953</v>
      </c>
      <c r="K965" t="s">
        <v>52</v>
      </c>
      <c r="L965" s="3">
        <f t="shared" si="30"/>
        <v>42571</v>
      </c>
      <c r="M965" s="3">
        <f t="shared" si="31"/>
        <v>25.204854943753702</v>
      </c>
    </row>
    <row r="966" spans="1:13" x14ac:dyDescent="0.35">
      <c r="A966" t="s">
        <v>86</v>
      </c>
      <c r="B966" t="s">
        <v>62</v>
      </c>
      <c r="C966" t="s">
        <v>27</v>
      </c>
      <c r="D966" t="s">
        <v>89</v>
      </c>
      <c r="E966">
        <v>30</v>
      </c>
      <c r="F966" s="4">
        <v>1435</v>
      </c>
      <c r="G966" s="9" t="s">
        <v>1954</v>
      </c>
      <c r="H966" s="1">
        <v>45243</v>
      </c>
      <c r="I966" t="s">
        <v>48</v>
      </c>
      <c r="J966" t="s">
        <v>1955</v>
      </c>
      <c r="K966" t="s">
        <v>32</v>
      </c>
      <c r="L966" s="3">
        <f t="shared" si="30"/>
        <v>33459</v>
      </c>
      <c r="M966" s="3">
        <f t="shared" si="31"/>
        <v>23.31637630662021</v>
      </c>
    </row>
    <row r="967" spans="1:13" x14ac:dyDescent="0.35">
      <c r="A967" t="s">
        <v>26</v>
      </c>
      <c r="B967" t="s">
        <v>62</v>
      </c>
      <c r="C967" t="s">
        <v>33</v>
      </c>
      <c r="D967" t="s">
        <v>28</v>
      </c>
      <c r="E967" t="s">
        <v>15</v>
      </c>
      <c r="F967" s="4">
        <v>433</v>
      </c>
      <c r="G967" s="9" t="s">
        <v>1956</v>
      </c>
      <c r="H967" s="1">
        <v>45249</v>
      </c>
      <c r="I967" t="s">
        <v>36</v>
      </c>
      <c r="J967" t="s">
        <v>1957</v>
      </c>
      <c r="K967" t="s">
        <v>56</v>
      </c>
      <c r="L967" s="3">
        <f t="shared" si="30"/>
        <v>5852</v>
      </c>
      <c r="M967" s="3">
        <f t="shared" si="31"/>
        <v>13.515011547344111</v>
      </c>
    </row>
    <row r="968" spans="1:13" x14ac:dyDescent="0.35">
      <c r="A968" t="s">
        <v>53</v>
      </c>
      <c r="B968" t="s">
        <v>62</v>
      </c>
      <c r="C968" t="s">
        <v>21</v>
      </c>
      <c r="D968" t="s">
        <v>22</v>
      </c>
      <c r="E968" t="s">
        <v>15</v>
      </c>
      <c r="F968" s="4">
        <v>425</v>
      </c>
      <c r="G968" s="9" t="s">
        <v>1958</v>
      </c>
      <c r="H968" s="1">
        <v>45347</v>
      </c>
      <c r="I968" t="s">
        <v>17</v>
      </c>
      <c r="J968" t="s">
        <v>1959</v>
      </c>
      <c r="K968" t="s">
        <v>38</v>
      </c>
      <c r="L968" s="3">
        <f t="shared" si="30"/>
        <v>30089</v>
      </c>
      <c r="M968" s="3">
        <f t="shared" si="31"/>
        <v>70.797647058823529</v>
      </c>
    </row>
    <row r="969" spans="1:13" x14ac:dyDescent="0.35">
      <c r="A969" t="s">
        <v>39</v>
      </c>
      <c r="B969" t="s">
        <v>40</v>
      </c>
      <c r="C969" t="s">
        <v>13</v>
      </c>
      <c r="D969" t="s">
        <v>28</v>
      </c>
      <c r="E969">
        <v>60</v>
      </c>
      <c r="F969" s="4">
        <v>1331</v>
      </c>
      <c r="G969" s="9" t="s">
        <v>1960</v>
      </c>
      <c r="H969" s="1">
        <v>45491</v>
      </c>
      <c r="I969" t="s">
        <v>45</v>
      </c>
      <c r="J969" t="s">
        <v>1961</v>
      </c>
      <c r="K969" t="s">
        <v>19</v>
      </c>
      <c r="L969" s="3">
        <f t="shared" si="30"/>
        <v>23249</v>
      </c>
      <c r="M969" s="3">
        <f t="shared" si="31"/>
        <v>17.467317806160782</v>
      </c>
    </row>
    <row r="970" spans="1:13" x14ac:dyDescent="0.35">
      <c r="A970" t="s">
        <v>86</v>
      </c>
      <c r="B970" t="s">
        <v>59</v>
      </c>
      <c r="C970" t="s">
        <v>13</v>
      </c>
      <c r="D970" t="s">
        <v>22</v>
      </c>
      <c r="E970" t="s">
        <v>15</v>
      </c>
      <c r="F970" s="4">
        <v>700</v>
      </c>
      <c r="G970" s="9" t="s">
        <v>1962</v>
      </c>
      <c r="H970" s="1">
        <v>45190</v>
      </c>
      <c r="I970" t="s">
        <v>36</v>
      </c>
      <c r="J970" t="s">
        <v>1963</v>
      </c>
      <c r="K970" t="s">
        <v>52</v>
      </c>
      <c r="L970" s="3">
        <f t="shared" si="30"/>
        <v>14747</v>
      </c>
      <c r="M970" s="3">
        <f t="shared" si="31"/>
        <v>21.067142857142859</v>
      </c>
    </row>
    <row r="971" spans="1:13" x14ac:dyDescent="0.35">
      <c r="A971" t="s">
        <v>53</v>
      </c>
      <c r="B971" t="s">
        <v>62</v>
      </c>
      <c r="C971" t="s">
        <v>27</v>
      </c>
      <c r="D971" t="s">
        <v>89</v>
      </c>
      <c r="E971">
        <v>60</v>
      </c>
      <c r="F971" s="4">
        <v>1290</v>
      </c>
      <c r="G971" s="9" t="s">
        <v>1964</v>
      </c>
      <c r="H971" s="1">
        <v>45142</v>
      </c>
      <c r="I971" t="s">
        <v>30</v>
      </c>
      <c r="J971" t="s">
        <v>1965</v>
      </c>
      <c r="K971" t="s">
        <v>32</v>
      </c>
      <c r="L971" s="3">
        <f t="shared" si="30"/>
        <v>26612</v>
      </c>
      <c r="M971" s="3">
        <f t="shared" si="31"/>
        <v>20.629457364341086</v>
      </c>
    </row>
    <row r="972" spans="1:13" x14ac:dyDescent="0.35">
      <c r="A972" t="s">
        <v>39</v>
      </c>
      <c r="B972" t="s">
        <v>20</v>
      </c>
      <c r="C972" t="s">
        <v>13</v>
      </c>
      <c r="D972" t="s">
        <v>34</v>
      </c>
      <c r="E972">
        <v>30</v>
      </c>
      <c r="F972" s="4">
        <v>1697</v>
      </c>
      <c r="G972" s="9" t="s">
        <v>1966</v>
      </c>
      <c r="H972" s="1">
        <v>45275</v>
      </c>
      <c r="I972" t="s">
        <v>36</v>
      </c>
      <c r="J972" t="s">
        <v>1967</v>
      </c>
      <c r="K972" t="s">
        <v>19</v>
      </c>
      <c r="L972" s="3">
        <f t="shared" si="30"/>
        <v>22505</v>
      </c>
      <c r="M972" s="3">
        <f t="shared" si="31"/>
        <v>13.26163818503241</v>
      </c>
    </row>
    <row r="973" spans="1:13" x14ac:dyDescent="0.35">
      <c r="A973" t="s">
        <v>11</v>
      </c>
      <c r="B973" t="s">
        <v>59</v>
      </c>
      <c r="C973" t="s">
        <v>27</v>
      </c>
      <c r="D973" t="s">
        <v>28</v>
      </c>
      <c r="E973">
        <v>60</v>
      </c>
      <c r="F973" s="4">
        <v>1435</v>
      </c>
      <c r="G973" s="9" t="s">
        <v>1968</v>
      </c>
      <c r="H973" s="1">
        <v>45319</v>
      </c>
      <c r="I973" t="s">
        <v>36</v>
      </c>
      <c r="J973" t="s">
        <v>1969</v>
      </c>
      <c r="K973" t="s">
        <v>56</v>
      </c>
      <c r="L973" s="3">
        <f t="shared" si="30"/>
        <v>12698</v>
      </c>
      <c r="M973" s="3">
        <f t="shared" si="31"/>
        <v>8.8487804878048788</v>
      </c>
    </row>
    <row r="974" spans="1:13" x14ac:dyDescent="0.35">
      <c r="A974" t="s">
        <v>39</v>
      </c>
      <c r="B974" t="s">
        <v>59</v>
      </c>
      <c r="C974" t="s">
        <v>13</v>
      </c>
      <c r="D974" t="s">
        <v>89</v>
      </c>
      <c r="E974" t="s">
        <v>15</v>
      </c>
      <c r="F974" s="4">
        <v>676</v>
      </c>
      <c r="G974" s="9" t="s">
        <v>1970</v>
      </c>
      <c r="H974" s="1">
        <v>45364</v>
      </c>
      <c r="I974" t="s">
        <v>36</v>
      </c>
      <c r="J974" t="s">
        <v>1971</v>
      </c>
      <c r="K974" t="s">
        <v>56</v>
      </c>
      <c r="L974" s="3">
        <f t="shared" si="30"/>
        <v>37974</v>
      </c>
      <c r="M974" s="3">
        <f t="shared" si="31"/>
        <v>56.174556213017752</v>
      </c>
    </row>
    <row r="975" spans="1:13" x14ac:dyDescent="0.35">
      <c r="A975" t="s">
        <v>26</v>
      </c>
      <c r="B975" t="s">
        <v>40</v>
      </c>
      <c r="C975" t="s">
        <v>13</v>
      </c>
      <c r="D975" t="s">
        <v>22</v>
      </c>
      <c r="E975" t="s">
        <v>43</v>
      </c>
      <c r="F975" s="4">
        <v>1529</v>
      </c>
      <c r="G975" s="9" t="s">
        <v>1972</v>
      </c>
      <c r="H975" s="1">
        <v>45438</v>
      </c>
      <c r="I975" t="s">
        <v>45</v>
      </c>
      <c r="J975" t="s">
        <v>1973</v>
      </c>
      <c r="K975" t="s">
        <v>19</v>
      </c>
      <c r="L975" s="3">
        <f t="shared" si="30"/>
        <v>37893</v>
      </c>
      <c r="M975" s="3">
        <f t="shared" si="31"/>
        <v>24.782864617396992</v>
      </c>
    </row>
    <row r="976" spans="1:13" x14ac:dyDescent="0.35">
      <c r="A976" t="s">
        <v>39</v>
      </c>
      <c r="B976" t="s">
        <v>40</v>
      </c>
      <c r="C976" t="s">
        <v>27</v>
      </c>
      <c r="D976" t="s">
        <v>34</v>
      </c>
      <c r="E976" t="s">
        <v>43</v>
      </c>
      <c r="F976" s="4">
        <v>1904</v>
      </c>
      <c r="G976" s="9" t="s">
        <v>1974</v>
      </c>
      <c r="H976" s="1">
        <v>45456</v>
      </c>
      <c r="I976" t="s">
        <v>30</v>
      </c>
      <c r="J976" t="s">
        <v>1975</v>
      </c>
      <c r="K976" t="s">
        <v>38</v>
      </c>
      <c r="L976" s="3">
        <f t="shared" si="30"/>
        <v>47774</v>
      </c>
      <c r="M976" s="3">
        <f t="shared" si="31"/>
        <v>25.091386554621849</v>
      </c>
    </row>
    <row r="977" spans="1:13" x14ac:dyDescent="0.35">
      <c r="A977" t="s">
        <v>86</v>
      </c>
      <c r="B977" t="s">
        <v>59</v>
      </c>
      <c r="C977" t="s">
        <v>33</v>
      </c>
      <c r="D977" t="s">
        <v>14</v>
      </c>
      <c r="E977">
        <v>60</v>
      </c>
      <c r="F977" s="4">
        <v>274</v>
      </c>
      <c r="G977" s="9" t="s">
        <v>1976</v>
      </c>
      <c r="H977" s="1">
        <v>45340</v>
      </c>
      <c r="I977" t="s">
        <v>45</v>
      </c>
      <c r="J977" t="s">
        <v>1977</v>
      </c>
      <c r="K977" t="s">
        <v>56</v>
      </c>
      <c r="L977" s="3">
        <f t="shared" si="30"/>
        <v>36990</v>
      </c>
      <c r="M977" s="3">
        <f t="shared" si="31"/>
        <v>135</v>
      </c>
    </row>
    <row r="978" spans="1:13" x14ac:dyDescent="0.35">
      <c r="A978" t="s">
        <v>11</v>
      </c>
      <c r="B978" t="s">
        <v>62</v>
      </c>
      <c r="C978" t="s">
        <v>21</v>
      </c>
      <c r="D978" t="s">
        <v>28</v>
      </c>
      <c r="E978" t="s">
        <v>43</v>
      </c>
      <c r="F978" s="4">
        <v>974</v>
      </c>
      <c r="G978" s="9" t="s">
        <v>1978</v>
      </c>
      <c r="H978" s="1">
        <v>45485</v>
      </c>
      <c r="I978" t="s">
        <v>36</v>
      </c>
      <c r="J978" t="s">
        <v>1979</v>
      </c>
      <c r="K978" t="s">
        <v>19</v>
      </c>
      <c r="L978" s="3">
        <f t="shared" si="30"/>
        <v>13263</v>
      </c>
      <c r="M978" s="3">
        <f t="shared" si="31"/>
        <v>13.617043121149898</v>
      </c>
    </row>
    <row r="979" spans="1:13" x14ac:dyDescent="0.35">
      <c r="A979" t="s">
        <v>39</v>
      </c>
      <c r="B979" t="s">
        <v>59</v>
      </c>
      <c r="C979" t="s">
        <v>77</v>
      </c>
      <c r="D979" t="s">
        <v>14</v>
      </c>
      <c r="E979">
        <v>30</v>
      </c>
      <c r="F979" s="4">
        <v>1169</v>
      </c>
      <c r="G979" s="9" t="s">
        <v>1980</v>
      </c>
      <c r="H979" s="1">
        <v>45399</v>
      </c>
      <c r="I979" t="s">
        <v>36</v>
      </c>
      <c r="J979" t="s">
        <v>1981</v>
      </c>
      <c r="K979" t="s">
        <v>52</v>
      </c>
      <c r="L979" s="3">
        <f t="shared" si="30"/>
        <v>30037</v>
      </c>
      <c r="M979" s="3">
        <f t="shared" si="31"/>
        <v>25.694610778443113</v>
      </c>
    </row>
    <row r="980" spans="1:13" x14ac:dyDescent="0.35">
      <c r="A980" t="s">
        <v>39</v>
      </c>
      <c r="B980" t="s">
        <v>59</v>
      </c>
      <c r="C980" t="s">
        <v>27</v>
      </c>
      <c r="D980" t="s">
        <v>22</v>
      </c>
      <c r="E980" t="s">
        <v>43</v>
      </c>
      <c r="F980" s="4">
        <v>1922</v>
      </c>
      <c r="G980" s="9" t="s">
        <v>1982</v>
      </c>
      <c r="H980" s="1">
        <v>45222</v>
      </c>
      <c r="I980" t="s">
        <v>36</v>
      </c>
      <c r="J980" t="s">
        <v>1983</v>
      </c>
      <c r="K980" t="s">
        <v>56</v>
      </c>
      <c r="L980" s="3">
        <f t="shared" si="30"/>
        <v>30322</v>
      </c>
      <c r="M980" s="3">
        <f t="shared" si="31"/>
        <v>15.776274713839751</v>
      </c>
    </row>
    <row r="981" spans="1:13" x14ac:dyDescent="0.35">
      <c r="A981" t="s">
        <v>11</v>
      </c>
      <c r="B981" t="s">
        <v>40</v>
      </c>
      <c r="C981" t="s">
        <v>77</v>
      </c>
      <c r="D981" t="s">
        <v>14</v>
      </c>
      <c r="E981">
        <v>60</v>
      </c>
      <c r="F981" s="4">
        <v>1656</v>
      </c>
      <c r="G981" s="9" t="s">
        <v>1984</v>
      </c>
      <c r="H981" s="1">
        <v>45492</v>
      </c>
      <c r="I981" t="s">
        <v>45</v>
      </c>
      <c r="J981" t="s">
        <v>1985</v>
      </c>
      <c r="K981" t="s">
        <v>32</v>
      </c>
      <c r="L981" s="3">
        <f t="shared" si="30"/>
        <v>2052</v>
      </c>
      <c r="M981" s="3">
        <f t="shared" si="31"/>
        <v>1.2391304347826086</v>
      </c>
    </row>
    <row r="982" spans="1:13" x14ac:dyDescent="0.35">
      <c r="A982" t="s">
        <v>86</v>
      </c>
      <c r="B982" t="s">
        <v>40</v>
      </c>
      <c r="C982" t="s">
        <v>13</v>
      </c>
      <c r="D982" t="s">
        <v>22</v>
      </c>
      <c r="E982">
        <v>30</v>
      </c>
      <c r="F982" s="4">
        <v>999</v>
      </c>
      <c r="G982" s="9" t="s">
        <v>1986</v>
      </c>
      <c r="H982" s="1">
        <v>45454</v>
      </c>
      <c r="I982" t="s">
        <v>45</v>
      </c>
      <c r="J982" t="s">
        <v>1987</v>
      </c>
      <c r="K982" t="s">
        <v>38</v>
      </c>
      <c r="L982" s="3">
        <f t="shared" si="30"/>
        <v>1790</v>
      </c>
      <c r="M982" s="3">
        <f t="shared" si="31"/>
        <v>1.7917917917917918</v>
      </c>
    </row>
    <row r="983" spans="1:13" x14ac:dyDescent="0.35">
      <c r="A983" t="s">
        <v>86</v>
      </c>
      <c r="B983" t="s">
        <v>59</v>
      </c>
      <c r="C983" t="s">
        <v>21</v>
      </c>
      <c r="D983" t="s">
        <v>22</v>
      </c>
      <c r="E983" t="s">
        <v>43</v>
      </c>
      <c r="F983" s="4">
        <v>1027</v>
      </c>
      <c r="G983" s="9" t="s">
        <v>1988</v>
      </c>
      <c r="H983" s="1">
        <v>45368</v>
      </c>
      <c r="I983" t="s">
        <v>45</v>
      </c>
      <c r="J983" t="s">
        <v>1989</v>
      </c>
      <c r="K983" t="s">
        <v>52</v>
      </c>
      <c r="L983" s="3">
        <f t="shared" si="30"/>
        <v>5568</v>
      </c>
      <c r="M983" s="3">
        <f t="shared" si="31"/>
        <v>5.4216163583252195</v>
      </c>
    </row>
    <row r="984" spans="1:13" x14ac:dyDescent="0.35">
      <c r="A984" t="s">
        <v>39</v>
      </c>
      <c r="B984" t="s">
        <v>62</v>
      </c>
      <c r="C984" t="s">
        <v>13</v>
      </c>
      <c r="D984" t="s">
        <v>89</v>
      </c>
      <c r="E984" t="s">
        <v>23</v>
      </c>
      <c r="F984" s="4">
        <v>202</v>
      </c>
      <c r="G984" s="9" t="s">
        <v>1990</v>
      </c>
      <c r="H984" s="1">
        <v>45370</v>
      </c>
      <c r="I984" t="s">
        <v>36</v>
      </c>
      <c r="J984" t="s">
        <v>1991</v>
      </c>
      <c r="K984" t="s">
        <v>56</v>
      </c>
      <c r="L984" s="3">
        <f t="shared" si="30"/>
        <v>35739</v>
      </c>
      <c r="M984" s="3">
        <f t="shared" si="31"/>
        <v>176.92574257425741</v>
      </c>
    </row>
    <row r="985" spans="1:13" x14ac:dyDescent="0.35">
      <c r="A985" t="s">
        <v>39</v>
      </c>
      <c r="B985" t="s">
        <v>59</v>
      </c>
      <c r="C985" t="s">
        <v>27</v>
      </c>
      <c r="D985" t="s">
        <v>14</v>
      </c>
      <c r="E985" t="s">
        <v>23</v>
      </c>
      <c r="F985" s="4">
        <v>868</v>
      </c>
      <c r="G985" s="9" t="s">
        <v>1992</v>
      </c>
      <c r="H985" s="1">
        <v>45356</v>
      </c>
      <c r="I985" t="s">
        <v>48</v>
      </c>
      <c r="J985" t="s">
        <v>1993</v>
      </c>
      <c r="K985" t="s">
        <v>56</v>
      </c>
      <c r="L985" s="3">
        <f t="shared" si="30"/>
        <v>39318</v>
      </c>
      <c r="M985" s="3">
        <f t="shared" si="31"/>
        <v>45.297235023041473</v>
      </c>
    </row>
    <row r="986" spans="1:13" x14ac:dyDescent="0.35">
      <c r="A986" t="s">
        <v>39</v>
      </c>
      <c r="B986" t="s">
        <v>62</v>
      </c>
      <c r="C986" t="s">
        <v>21</v>
      </c>
      <c r="D986" t="s">
        <v>14</v>
      </c>
      <c r="E986">
        <v>30</v>
      </c>
      <c r="F986" s="4">
        <v>783</v>
      </c>
      <c r="G986" s="9" t="s">
        <v>1994</v>
      </c>
      <c r="H986" s="1">
        <v>45145</v>
      </c>
      <c r="I986" t="s">
        <v>48</v>
      </c>
      <c r="J986" t="s">
        <v>1995</v>
      </c>
      <c r="K986" t="s">
        <v>38</v>
      </c>
      <c r="L986" s="3">
        <f t="shared" si="30"/>
        <v>7230</v>
      </c>
      <c r="M986" s="3">
        <f t="shared" si="31"/>
        <v>9.2337164750957861</v>
      </c>
    </row>
    <row r="987" spans="1:13" x14ac:dyDescent="0.35">
      <c r="A987" t="s">
        <v>53</v>
      </c>
      <c r="B987" t="s">
        <v>59</v>
      </c>
      <c r="C987" t="s">
        <v>13</v>
      </c>
      <c r="D987" t="s">
        <v>14</v>
      </c>
      <c r="E987">
        <v>60</v>
      </c>
      <c r="F987" s="4">
        <v>624</v>
      </c>
      <c r="G987" s="9" t="s">
        <v>1996</v>
      </c>
      <c r="H987" s="1">
        <v>45378</v>
      </c>
      <c r="I987" t="s">
        <v>45</v>
      </c>
      <c r="J987" t="s">
        <v>1997</v>
      </c>
      <c r="K987" t="s">
        <v>38</v>
      </c>
      <c r="L987" s="3">
        <f t="shared" si="30"/>
        <v>39173</v>
      </c>
      <c r="M987" s="3">
        <f t="shared" si="31"/>
        <v>62.777243589743591</v>
      </c>
    </row>
    <row r="988" spans="1:13" x14ac:dyDescent="0.35">
      <c r="A988" t="s">
        <v>53</v>
      </c>
      <c r="B988" t="s">
        <v>62</v>
      </c>
      <c r="C988" t="s">
        <v>13</v>
      </c>
      <c r="D988" t="s">
        <v>28</v>
      </c>
      <c r="E988">
        <v>30</v>
      </c>
      <c r="F988" s="4">
        <v>144</v>
      </c>
      <c r="G988" s="9" t="s">
        <v>1998</v>
      </c>
      <c r="H988" s="1">
        <v>45324</v>
      </c>
      <c r="I988" t="s">
        <v>17</v>
      </c>
      <c r="J988" t="s">
        <v>1999</v>
      </c>
      <c r="K988" t="s">
        <v>52</v>
      </c>
      <c r="L988" s="3">
        <f t="shared" si="30"/>
        <v>31678</v>
      </c>
      <c r="M988" s="3">
        <f t="shared" si="31"/>
        <v>219.98611111111111</v>
      </c>
    </row>
    <row r="989" spans="1:13" x14ac:dyDescent="0.35">
      <c r="A989" t="s">
        <v>11</v>
      </c>
      <c r="B989" t="s">
        <v>20</v>
      </c>
      <c r="C989" t="s">
        <v>33</v>
      </c>
      <c r="D989" t="s">
        <v>28</v>
      </c>
      <c r="E989" t="s">
        <v>43</v>
      </c>
      <c r="F989" s="4">
        <v>1705</v>
      </c>
      <c r="G989" s="9" t="s">
        <v>2000</v>
      </c>
      <c r="H989" s="1">
        <v>45324</v>
      </c>
      <c r="I989" t="s">
        <v>48</v>
      </c>
      <c r="J989" t="s">
        <v>2001</v>
      </c>
      <c r="K989" t="s">
        <v>38</v>
      </c>
      <c r="L989" s="3">
        <f t="shared" si="30"/>
        <v>3950</v>
      </c>
      <c r="M989" s="3">
        <f t="shared" si="31"/>
        <v>2.3167155425219943</v>
      </c>
    </row>
    <row r="990" spans="1:13" x14ac:dyDescent="0.35">
      <c r="A990" t="s">
        <v>53</v>
      </c>
      <c r="B990" t="s">
        <v>59</v>
      </c>
      <c r="C990" t="s">
        <v>33</v>
      </c>
      <c r="D990" t="s">
        <v>28</v>
      </c>
      <c r="E990" t="s">
        <v>23</v>
      </c>
      <c r="F990" s="4">
        <v>1435</v>
      </c>
      <c r="G990" s="9" t="s">
        <v>2002</v>
      </c>
      <c r="H990" s="1">
        <v>45320</v>
      </c>
      <c r="I990" t="s">
        <v>48</v>
      </c>
      <c r="J990" t="s">
        <v>2003</v>
      </c>
      <c r="K990" t="s">
        <v>38</v>
      </c>
      <c r="L990" s="3">
        <f t="shared" si="30"/>
        <v>11503</v>
      </c>
      <c r="M990" s="3">
        <f t="shared" si="31"/>
        <v>8.0160278745644593</v>
      </c>
    </row>
    <row r="991" spans="1:13" x14ac:dyDescent="0.35">
      <c r="A991" t="s">
        <v>86</v>
      </c>
      <c r="B991" t="s">
        <v>59</v>
      </c>
      <c r="C991" t="s">
        <v>13</v>
      </c>
      <c r="D991" t="s">
        <v>28</v>
      </c>
      <c r="E991" t="s">
        <v>15</v>
      </c>
      <c r="F991" s="4">
        <v>1882</v>
      </c>
      <c r="G991" s="9" t="s">
        <v>2004</v>
      </c>
      <c r="H991" s="1">
        <v>45215</v>
      </c>
      <c r="I991" t="s">
        <v>48</v>
      </c>
      <c r="J991" t="s">
        <v>2005</v>
      </c>
      <c r="K991" t="s">
        <v>19</v>
      </c>
      <c r="L991" s="3">
        <f t="shared" si="30"/>
        <v>23935</v>
      </c>
      <c r="M991" s="3">
        <f t="shared" si="31"/>
        <v>12.717853347502658</v>
      </c>
    </row>
    <row r="992" spans="1:13" x14ac:dyDescent="0.35">
      <c r="A992" t="s">
        <v>39</v>
      </c>
      <c r="B992" t="s">
        <v>12</v>
      </c>
      <c r="C992" t="s">
        <v>33</v>
      </c>
      <c r="D992" t="s">
        <v>14</v>
      </c>
      <c r="E992" t="s">
        <v>23</v>
      </c>
      <c r="F992" s="4">
        <v>1018</v>
      </c>
      <c r="G992" s="9" t="s">
        <v>2006</v>
      </c>
      <c r="H992" s="1">
        <v>45486</v>
      </c>
      <c r="I992" t="s">
        <v>45</v>
      </c>
      <c r="J992" t="s">
        <v>2007</v>
      </c>
      <c r="K992" t="s">
        <v>32</v>
      </c>
      <c r="L992" s="3">
        <f t="shared" si="30"/>
        <v>42507</v>
      </c>
      <c r="M992" s="3">
        <f t="shared" si="31"/>
        <v>41.755402750491157</v>
      </c>
    </row>
    <row r="993" spans="1:13" x14ac:dyDescent="0.35">
      <c r="A993" t="s">
        <v>26</v>
      </c>
      <c r="B993" t="s">
        <v>40</v>
      </c>
      <c r="C993" t="s">
        <v>27</v>
      </c>
      <c r="D993" t="s">
        <v>22</v>
      </c>
      <c r="E993" t="s">
        <v>23</v>
      </c>
      <c r="F993" s="4">
        <v>1895</v>
      </c>
      <c r="G993" s="9" t="s">
        <v>2008</v>
      </c>
      <c r="H993" s="1">
        <v>45218</v>
      </c>
      <c r="I993" t="s">
        <v>48</v>
      </c>
      <c r="J993" t="s">
        <v>2009</v>
      </c>
      <c r="K993" t="s">
        <v>32</v>
      </c>
      <c r="L993" s="3">
        <f t="shared" si="30"/>
        <v>40085</v>
      </c>
      <c r="M993" s="3">
        <f t="shared" si="31"/>
        <v>21.153034300791557</v>
      </c>
    </row>
    <row r="994" spans="1:13" x14ac:dyDescent="0.35">
      <c r="A994" t="s">
        <v>39</v>
      </c>
      <c r="B994" t="s">
        <v>20</v>
      </c>
      <c r="C994" t="s">
        <v>21</v>
      </c>
      <c r="D994" t="s">
        <v>89</v>
      </c>
      <c r="E994" t="s">
        <v>15</v>
      </c>
      <c r="F994" s="4">
        <v>634</v>
      </c>
      <c r="G994" s="9" t="s">
        <v>2010</v>
      </c>
      <c r="H994" s="1">
        <v>45169</v>
      </c>
      <c r="I994" t="s">
        <v>17</v>
      </c>
      <c r="J994" t="s">
        <v>2011</v>
      </c>
      <c r="K994" t="s">
        <v>38</v>
      </c>
      <c r="L994" s="3">
        <f t="shared" si="30"/>
        <v>27518</v>
      </c>
      <c r="M994" s="3">
        <f t="shared" si="31"/>
        <v>43.403785488958988</v>
      </c>
    </row>
    <row r="995" spans="1:13" x14ac:dyDescent="0.35">
      <c r="A995" t="s">
        <v>11</v>
      </c>
      <c r="B995" t="s">
        <v>62</v>
      </c>
      <c r="C995" t="s">
        <v>27</v>
      </c>
      <c r="D995" t="s">
        <v>14</v>
      </c>
      <c r="E995" t="s">
        <v>15</v>
      </c>
      <c r="F995" s="4">
        <v>598</v>
      </c>
      <c r="G995" s="9" t="s">
        <v>2012</v>
      </c>
      <c r="H995" s="1">
        <v>45139</v>
      </c>
      <c r="I995" t="s">
        <v>48</v>
      </c>
      <c r="J995" t="s">
        <v>2013</v>
      </c>
      <c r="K995" t="s">
        <v>56</v>
      </c>
      <c r="L995" s="3">
        <f t="shared" si="30"/>
        <v>44610</v>
      </c>
      <c r="M995" s="3">
        <f t="shared" si="31"/>
        <v>74.598662207357862</v>
      </c>
    </row>
    <row r="996" spans="1:13" x14ac:dyDescent="0.35">
      <c r="A996" t="s">
        <v>53</v>
      </c>
      <c r="B996" t="s">
        <v>59</v>
      </c>
      <c r="C996" t="s">
        <v>33</v>
      </c>
      <c r="D996" t="s">
        <v>28</v>
      </c>
      <c r="E996">
        <v>60</v>
      </c>
      <c r="F996" s="4">
        <v>1619</v>
      </c>
      <c r="G996" s="9" t="s">
        <v>2014</v>
      </c>
      <c r="H996" s="1">
        <v>45488</v>
      </c>
      <c r="I996" t="s">
        <v>48</v>
      </c>
      <c r="J996" t="s">
        <v>2015</v>
      </c>
      <c r="K996" t="s">
        <v>52</v>
      </c>
      <c r="L996" s="3">
        <f t="shared" si="30"/>
        <v>35793</v>
      </c>
      <c r="M996" s="3">
        <f t="shared" si="31"/>
        <v>22.108091414453366</v>
      </c>
    </row>
    <row r="997" spans="1:13" x14ac:dyDescent="0.35">
      <c r="A997" t="s">
        <v>11</v>
      </c>
      <c r="B997" t="s">
        <v>20</v>
      </c>
      <c r="C997" t="s">
        <v>77</v>
      </c>
      <c r="D997" t="s">
        <v>14</v>
      </c>
      <c r="E997" t="s">
        <v>23</v>
      </c>
      <c r="F997" s="4">
        <v>359</v>
      </c>
      <c r="G997" s="9" t="s">
        <v>2016</v>
      </c>
      <c r="H997" s="1">
        <v>45266</v>
      </c>
      <c r="I997" t="s">
        <v>48</v>
      </c>
      <c r="J997" t="s">
        <v>2017</v>
      </c>
      <c r="K997" t="s">
        <v>19</v>
      </c>
      <c r="L997" s="3">
        <f t="shared" si="30"/>
        <v>36979</v>
      </c>
      <c r="M997" s="3">
        <f t="shared" si="31"/>
        <v>103.00557103064067</v>
      </c>
    </row>
    <row r="998" spans="1:13" x14ac:dyDescent="0.35">
      <c r="A998" t="s">
        <v>26</v>
      </c>
      <c r="B998" t="s">
        <v>59</v>
      </c>
      <c r="C998" t="s">
        <v>21</v>
      </c>
      <c r="D998" t="s">
        <v>28</v>
      </c>
      <c r="E998" t="s">
        <v>23</v>
      </c>
      <c r="F998" s="4">
        <v>1502</v>
      </c>
      <c r="G998" s="9" t="s">
        <v>2018</v>
      </c>
      <c r="H998" s="1">
        <v>45254</v>
      </c>
      <c r="I998" t="s">
        <v>45</v>
      </c>
      <c r="J998" t="s">
        <v>2019</v>
      </c>
      <c r="K998" t="s">
        <v>19</v>
      </c>
      <c r="L998" s="3">
        <f t="shared" si="30"/>
        <v>12221</v>
      </c>
      <c r="M998" s="3">
        <f t="shared" si="31"/>
        <v>8.1364846870838878</v>
      </c>
    </row>
    <row r="999" spans="1:13" x14ac:dyDescent="0.35">
      <c r="A999" t="s">
        <v>39</v>
      </c>
      <c r="B999" t="s">
        <v>12</v>
      </c>
      <c r="C999" t="s">
        <v>13</v>
      </c>
      <c r="D999" t="s">
        <v>89</v>
      </c>
      <c r="E999">
        <v>30</v>
      </c>
      <c r="F999" s="4">
        <v>1552</v>
      </c>
      <c r="G999" s="9" t="s">
        <v>2020</v>
      </c>
      <c r="H999" s="1">
        <v>45408</v>
      </c>
      <c r="I999" t="s">
        <v>36</v>
      </c>
      <c r="J999" t="s">
        <v>2021</v>
      </c>
      <c r="K999" t="s">
        <v>52</v>
      </c>
      <c r="L999" s="3">
        <f t="shared" si="30"/>
        <v>11238</v>
      </c>
      <c r="M999" s="3">
        <f t="shared" si="31"/>
        <v>7.2409793814432986</v>
      </c>
    </row>
    <row r="1000" spans="1:13" x14ac:dyDescent="0.35">
      <c r="A1000" t="s">
        <v>39</v>
      </c>
      <c r="B1000" t="s">
        <v>12</v>
      </c>
      <c r="C1000" t="s">
        <v>27</v>
      </c>
      <c r="D1000" t="s">
        <v>28</v>
      </c>
      <c r="E1000" t="s">
        <v>43</v>
      </c>
      <c r="F1000" s="4">
        <v>1152</v>
      </c>
      <c r="G1000" s="9" t="s">
        <v>2022</v>
      </c>
      <c r="H1000" s="1">
        <v>45408</v>
      </c>
      <c r="I1000" t="s">
        <v>48</v>
      </c>
      <c r="J1000" t="s">
        <v>2023</v>
      </c>
      <c r="K1000" t="s">
        <v>19</v>
      </c>
      <c r="L1000" s="3">
        <f t="shared" si="30"/>
        <v>39119</v>
      </c>
      <c r="M1000" s="3">
        <f t="shared" si="31"/>
        <v>33.957465277777779</v>
      </c>
    </row>
    <row r="1001" spans="1:13" x14ac:dyDescent="0.35">
      <c r="A1001" t="s">
        <v>53</v>
      </c>
      <c r="B1001" t="s">
        <v>20</v>
      </c>
      <c r="C1001" t="s">
        <v>77</v>
      </c>
      <c r="D1001" t="s">
        <v>14</v>
      </c>
      <c r="E1001">
        <v>60</v>
      </c>
      <c r="F1001" s="4">
        <v>996</v>
      </c>
      <c r="G1001" s="9" t="s">
        <v>1514</v>
      </c>
      <c r="H1001" s="1">
        <v>45144</v>
      </c>
      <c r="I1001" t="s">
        <v>30</v>
      </c>
      <c r="J1001" t="s">
        <v>2024</v>
      </c>
      <c r="K1001" t="s">
        <v>38</v>
      </c>
      <c r="L1001" s="3">
        <f t="shared" si="30"/>
        <v>46219</v>
      </c>
      <c r="M1001" s="3">
        <f t="shared" si="31"/>
        <v>46.404618473895582</v>
      </c>
    </row>
    <row r="1002" spans="1:13" x14ac:dyDescent="0.35">
      <c r="L1002" s="2"/>
    </row>
    <row r="1003" spans="1:13" x14ac:dyDescent="0.35">
      <c r="L1003" s="2"/>
    </row>
    <row r="1004" spans="1:13" x14ac:dyDescent="0.35">
      <c r="L1004" s="2"/>
    </row>
    <row r="1005" spans="1:13" x14ac:dyDescent="0.35">
      <c r="L1005" s="2"/>
    </row>
    <row r="1006" spans="1:13" x14ac:dyDescent="0.35">
      <c r="L1006" s="2"/>
    </row>
    <row r="1007" spans="1:13" x14ac:dyDescent="0.35">
      <c r="L1007" s="2"/>
    </row>
    <row r="1008" spans="1:13" x14ac:dyDescent="0.35">
      <c r="L1008" s="2"/>
    </row>
    <row r="1009" spans="12:12" x14ac:dyDescent="0.35">
      <c r="L1009" s="2"/>
    </row>
    <row r="1010" spans="12:12" x14ac:dyDescent="0.35">
      <c r="L1010" s="2"/>
    </row>
    <row r="1011" spans="12:12" x14ac:dyDescent="0.35">
      <c r="L1011" s="2"/>
    </row>
    <row r="1012" spans="12:12" x14ac:dyDescent="0.35">
      <c r="L1012" s="2"/>
    </row>
    <row r="1013" spans="12:12" x14ac:dyDescent="0.35">
      <c r="L1013" s="2"/>
    </row>
    <row r="1014" spans="12:12" x14ac:dyDescent="0.35">
      <c r="L1014" s="2"/>
    </row>
    <row r="1015" spans="12:12" x14ac:dyDescent="0.35">
      <c r="L1015" s="2"/>
    </row>
    <row r="1016" spans="12:12" x14ac:dyDescent="0.35">
      <c r="L1016" s="2"/>
    </row>
    <row r="1017" spans="12:12" x14ac:dyDescent="0.35">
      <c r="L1017" s="2"/>
    </row>
    <row r="1018" spans="12:12" x14ac:dyDescent="0.35">
      <c r="L1018" s="2"/>
    </row>
    <row r="1019" spans="12:12" x14ac:dyDescent="0.35">
      <c r="L1019" s="2"/>
    </row>
    <row r="1020" spans="12:12" x14ac:dyDescent="0.35">
      <c r="L1020" s="2"/>
    </row>
    <row r="1021" spans="12:12" x14ac:dyDescent="0.35">
      <c r="L1021" s="2"/>
    </row>
    <row r="1022" spans="12:12" x14ac:dyDescent="0.35">
      <c r="L1022" s="2"/>
    </row>
    <row r="1023" spans="12:12" x14ac:dyDescent="0.35">
      <c r="L1023" s="2"/>
    </row>
    <row r="1024" spans="12:12" x14ac:dyDescent="0.35">
      <c r="L1024" s="2"/>
    </row>
    <row r="1025" spans="12:12" x14ac:dyDescent="0.35">
      <c r="L1025" s="2"/>
    </row>
    <row r="1026" spans="12:12" x14ac:dyDescent="0.35">
      <c r="L1026" s="2"/>
    </row>
    <row r="1027" spans="12:12" x14ac:dyDescent="0.35">
      <c r="L1027" s="2"/>
    </row>
    <row r="1028" spans="12:12" x14ac:dyDescent="0.35">
      <c r="L1028" s="2"/>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F6D33-98D8-4BF6-A880-5D0D3E0D2548}">
  <dimension ref="C3:M53"/>
  <sheetViews>
    <sheetView zoomScale="73" workbookViewId="0">
      <selection activeCell="C40" sqref="C40"/>
    </sheetView>
  </sheetViews>
  <sheetFormatPr defaultRowHeight="14.5" x14ac:dyDescent="0.35"/>
  <cols>
    <col min="1" max="1" width="7.08984375" customWidth="1"/>
    <col min="2" max="2" width="12.36328125" customWidth="1"/>
    <col min="3" max="3" width="13.453125" bestFit="1" customWidth="1"/>
    <col min="4" max="4" width="25.26953125" bestFit="1" customWidth="1"/>
    <col min="5" max="5" width="6.7265625" customWidth="1"/>
    <col min="6" max="6" width="13.453125" bestFit="1" customWidth="1"/>
    <col min="7" max="7" width="25.26953125" bestFit="1" customWidth="1"/>
    <col min="8" max="8" width="14.26953125" bestFit="1" customWidth="1"/>
    <col min="9" max="9" width="12.36328125" bestFit="1" customWidth="1"/>
    <col min="10" max="10" width="18.08984375" bestFit="1" customWidth="1"/>
    <col min="12" max="12" width="15" bestFit="1" customWidth="1"/>
    <col min="13" max="13" width="24.453125" bestFit="1" customWidth="1"/>
    <col min="14" max="1005" width="21.7265625" bestFit="1" customWidth="1"/>
    <col min="1006" max="1006" width="10.7265625" bestFit="1" customWidth="1"/>
  </cols>
  <sheetData>
    <row r="3" spans="3:13" x14ac:dyDescent="0.35">
      <c r="C3" s="6" t="s">
        <v>2026</v>
      </c>
      <c r="D3" s="6"/>
      <c r="F3" s="11" t="s">
        <v>2031</v>
      </c>
      <c r="G3" s="11"/>
      <c r="I3" s="13" t="s">
        <v>2032</v>
      </c>
      <c r="J3" s="13"/>
      <c r="L3" s="12"/>
      <c r="M3" s="12"/>
    </row>
    <row r="4" spans="3:13" x14ac:dyDescent="0.35">
      <c r="C4" s="7" t="s">
        <v>2027</v>
      </c>
      <c r="D4" t="s">
        <v>2030</v>
      </c>
      <c r="F4" s="7" t="s">
        <v>2027</v>
      </c>
      <c r="G4" t="s">
        <v>2030</v>
      </c>
      <c r="I4" s="7" t="s">
        <v>2027</v>
      </c>
      <c r="J4" t="s">
        <v>2030</v>
      </c>
      <c r="L4" s="7" t="s">
        <v>2027</v>
      </c>
      <c r="M4" t="s">
        <v>2030</v>
      </c>
    </row>
    <row r="5" spans="3:13" x14ac:dyDescent="0.35">
      <c r="C5" s="8" t="s">
        <v>30</v>
      </c>
      <c r="D5" s="3">
        <v>4627135</v>
      </c>
      <c r="F5" s="8" t="s">
        <v>53</v>
      </c>
      <c r="G5" s="3">
        <v>5196471</v>
      </c>
      <c r="I5" s="8" t="s">
        <v>19</v>
      </c>
      <c r="J5" s="3">
        <v>5311106</v>
      </c>
      <c r="L5" s="8" t="s">
        <v>461</v>
      </c>
      <c r="M5" s="3">
        <v>80353</v>
      </c>
    </row>
    <row r="6" spans="3:13" x14ac:dyDescent="0.35">
      <c r="C6" s="8" t="s">
        <v>36</v>
      </c>
      <c r="D6" s="3">
        <v>4809529</v>
      </c>
      <c r="F6" s="8" t="s">
        <v>11</v>
      </c>
      <c r="G6" s="3">
        <v>5767109</v>
      </c>
      <c r="I6" s="8" t="s">
        <v>32</v>
      </c>
      <c r="J6" s="3">
        <v>4965590</v>
      </c>
      <c r="L6" s="8" t="s">
        <v>411</v>
      </c>
      <c r="M6" s="3">
        <v>75731</v>
      </c>
    </row>
    <row r="7" spans="3:13" x14ac:dyDescent="0.35">
      <c r="C7" s="8" t="s">
        <v>45</v>
      </c>
      <c r="D7" s="3">
        <v>5027740</v>
      </c>
      <c r="F7" s="8" t="s">
        <v>39</v>
      </c>
      <c r="G7" s="3">
        <v>5259455</v>
      </c>
      <c r="I7" s="8" t="s">
        <v>52</v>
      </c>
      <c r="J7" s="3">
        <v>5203717</v>
      </c>
      <c r="L7" s="8" t="s">
        <v>55</v>
      </c>
      <c r="M7" s="3">
        <v>64237</v>
      </c>
    </row>
    <row r="8" spans="3:13" x14ac:dyDescent="0.35">
      <c r="C8" s="8" t="s">
        <v>48</v>
      </c>
      <c r="D8" s="3">
        <v>5367445</v>
      </c>
      <c r="F8" s="8" t="s">
        <v>86</v>
      </c>
      <c r="G8" s="3">
        <v>5092952</v>
      </c>
      <c r="I8" s="8" t="s">
        <v>38</v>
      </c>
      <c r="J8" s="3">
        <v>6019543</v>
      </c>
      <c r="L8" s="8" t="s">
        <v>273</v>
      </c>
      <c r="M8" s="3">
        <v>61582</v>
      </c>
    </row>
    <row r="9" spans="3:13" x14ac:dyDescent="0.35">
      <c r="C9" s="8" t="s">
        <v>17</v>
      </c>
      <c r="D9" s="3">
        <v>6246955</v>
      </c>
      <c r="F9" s="8" t="s">
        <v>26</v>
      </c>
      <c r="G9" s="3">
        <v>4762817</v>
      </c>
      <c r="I9" s="8" t="s">
        <v>56</v>
      </c>
      <c r="J9" s="3">
        <v>4578848</v>
      </c>
      <c r="L9" s="8" t="s">
        <v>1064</v>
      </c>
      <c r="M9" s="3">
        <v>62553</v>
      </c>
    </row>
    <row r="10" spans="3:13" x14ac:dyDescent="0.35">
      <c r="C10" s="8" t="s">
        <v>2028</v>
      </c>
      <c r="D10" s="3">
        <v>26078804</v>
      </c>
      <c r="F10" s="8" t="s">
        <v>2028</v>
      </c>
      <c r="G10" s="3">
        <v>26078804</v>
      </c>
      <c r="I10" s="8" t="s">
        <v>2028</v>
      </c>
      <c r="J10" s="3">
        <v>26078804</v>
      </c>
      <c r="L10" s="8" t="s">
        <v>2028</v>
      </c>
      <c r="M10" s="3">
        <v>344456</v>
      </c>
    </row>
    <row r="12" spans="3:13" x14ac:dyDescent="0.35">
      <c r="C12" s="19"/>
      <c r="D12" s="19"/>
      <c r="F12" s="15"/>
      <c r="G12" s="15"/>
      <c r="I12" s="12"/>
      <c r="J12" s="12"/>
      <c r="L12" s="14"/>
      <c r="M12" s="14"/>
    </row>
    <row r="13" spans="3:13" x14ac:dyDescent="0.35">
      <c r="C13" s="7" t="s">
        <v>2027</v>
      </c>
      <c r="D13" t="s">
        <v>2030</v>
      </c>
      <c r="F13" s="7" t="s">
        <v>2027</v>
      </c>
      <c r="G13" t="s">
        <v>2037</v>
      </c>
      <c r="I13" s="7" t="s">
        <v>2027</v>
      </c>
      <c r="J13" t="s">
        <v>2038</v>
      </c>
      <c r="L13" s="7" t="s">
        <v>2027</v>
      </c>
      <c r="M13" t="s">
        <v>2039</v>
      </c>
    </row>
    <row r="14" spans="3:13" x14ac:dyDescent="0.35">
      <c r="C14" s="8" t="s">
        <v>2033</v>
      </c>
      <c r="D14" s="3">
        <v>6157932</v>
      </c>
      <c r="F14" s="8" t="s">
        <v>53</v>
      </c>
      <c r="G14">
        <v>186</v>
      </c>
      <c r="I14" s="8" t="s">
        <v>40</v>
      </c>
      <c r="J14">
        <v>212</v>
      </c>
      <c r="L14" s="8" t="s">
        <v>53</v>
      </c>
      <c r="M14" s="3">
        <v>9045.1626997053736</v>
      </c>
    </row>
    <row r="15" spans="3:13" x14ac:dyDescent="0.35">
      <c r="C15" s="8" t="s">
        <v>2034</v>
      </c>
      <c r="D15" s="3">
        <v>6385719</v>
      </c>
      <c r="F15" s="8" t="s">
        <v>11</v>
      </c>
      <c r="G15">
        <v>228</v>
      </c>
      <c r="I15" s="8" t="s">
        <v>12</v>
      </c>
      <c r="J15">
        <v>195</v>
      </c>
      <c r="L15" s="8" t="s">
        <v>11</v>
      </c>
      <c r="M15" s="3">
        <v>8204.9360212264874</v>
      </c>
    </row>
    <row r="16" spans="3:13" x14ac:dyDescent="0.35">
      <c r="C16" s="8" t="s">
        <v>2035</v>
      </c>
      <c r="D16" s="3">
        <v>6548493</v>
      </c>
      <c r="F16" s="8" t="s">
        <v>39</v>
      </c>
      <c r="G16">
        <v>205</v>
      </c>
      <c r="I16" s="8" t="s">
        <v>20</v>
      </c>
      <c r="J16">
        <v>193</v>
      </c>
      <c r="L16" s="8" t="s">
        <v>39</v>
      </c>
      <c r="M16" s="3">
        <v>8625.9723638331543</v>
      </c>
    </row>
    <row r="17" spans="3:13" x14ac:dyDescent="0.35">
      <c r="C17" s="8" t="s">
        <v>2036</v>
      </c>
      <c r="D17" s="3">
        <v>6986660</v>
      </c>
      <c r="F17" s="8" t="s">
        <v>86</v>
      </c>
      <c r="G17">
        <v>194</v>
      </c>
      <c r="I17" s="8" t="s">
        <v>59</v>
      </c>
      <c r="J17">
        <v>212</v>
      </c>
      <c r="L17" s="8" t="s">
        <v>86</v>
      </c>
      <c r="M17" s="3">
        <v>8236.5610302540626</v>
      </c>
    </row>
    <row r="18" spans="3:13" x14ac:dyDescent="0.35">
      <c r="C18" s="8" t="s">
        <v>2028</v>
      </c>
      <c r="D18" s="3">
        <v>26078804</v>
      </c>
      <c r="F18" s="8" t="s">
        <v>26</v>
      </c>
      <c r="G18">
        <v>187</v>
      </c>
      <c r="I18" s="8" t="s">
        <v>62</v>
      </c>
      <c r="J18">
        <v>188</v>
      </c>
      <c r="L18" s="8" t="s">
        <v>26</v>
      </c>
      <c r="M18" s="3">
        <v>6966.568514163595</v>
      </c>
    </row>
    <row r="19" spans="3:13" x14ac:dyDescent="0.35">
      <c r="F19" s="8" t="s">
        <v>2028</v>
      </c>
      <c r="G19">
        <v>1000</v>
      </c>
      <c r="I19" s="8" t="s">
        <v>2028</v>
      </c>
      <c r="J19">
        <v>1000</v>
      </c>
      <c r="L19" s="8" t="s">
        <v>2028</v>
      </c>
      <c r="M19" s="3">
        <v>41079.200629182669</v>
      </c>
    </row>
    <row r="21" spans="3:13" x14ac:dyDescent="0.35">
      <c r="L21" s="19"/>
      <c r="M21" s="19"/>
    </row>
    <row r="22" spans="3:13" x14ac:dyDescent="0.35">
      <c r="L22" s="7" t="s">
        <v>2027</v>
      </c>
      <c r="M22" t="s">
        <v>2039</v>
      </c>
    </row>
    <row r="23" spans="3:13" x14ac:dyDescent="0.35">
      <c r="L23" s="8" t="s">
        <v>19</v>
      </c>
      <c r="M23" s="3">
        <v>7951.6264227233778</v>
      </c>
    </row>
    <row r="24" spans="3:13" x14ac:dyDescent="0.35">
      <c r="L24" s="8" t="s">
        <v>32</v>
      </c>
      <c r="M24" s="3">
        <v>8142.7244280465875</v>
      </c>
    </row>
    <row r="25" spans="3:13" x14ac:dyDescent="0.35">
      <c r="L25" s="8" t="s">
        <v>52</v>
      </c>
      <c r="M25" s="3">
        <v>7705.4082496617211</v>
      </c>
    </row>
    <row r="26" spans="3:13" x14ac:dyDescent="0.35">
      <c r="L26" s="8" t="s">
        <v>38</v>
      </c>
      <c r="M26" s="3">
        <v>9013.6287320368974</v>
      </c>
    </row>
    <row r="27" spans="3:13" x14ac:dyDescent="0.35">
      <c r="L27" s="8" t="s">
        <v>56</v>
      </c>
      <c r="M27" s="3">
        <v>8265.8127967140936</v>
      </c>
    </row>
    <row r="28" spans="3:13" x14ac:dyDescent="0.35">
      <c r="L28" s="8" t="s">
        <v>2028</v>
      </c>
      <c r="M28" s="3">
        <v>41079.200629182669</v>
      </c>
    </row>
    <row r="38" spans="3:3" x14ac:dyDescent="0.35">
      <c r="C38" s="20"/>
    </row>
    <row r="39" spans="3:3" x14ac:dyDescent="0.35">
      <c r="C39" t="s">
        <v>2030</v>
      </c>
    </row>
    <row r="40" spans="3:3" x14ac:dyDescent="0.35">
      <c r="C40" s="3">
        <v>26078804</v>
      </c>
    </row>
    <row r="51" spans="3:3" x14ac:dyDescent="0.35">
      <c r="C51" s="21"/>
    </row>
    <row r="52" spans="3:3" x14ac:dyDescent="0.35">
      <c r="C52" t="s">
        <v>2043</v>
      </c>
    </row>
    <row r="53" spans="3:3" x14ac:dyDescent="0.35">
      <c r="C53" s="4">
        <v>1056409</v>
      </c>
    </row>
  </sheetData>
  <pageMargins left="0.7" right="0.7" top="0.75" bottom="0.75" header="0.3" footer="0.3"/>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E6369-70D8-4A6D-A68B-3D017F9F7877}">
  <dimension ref="D1:AW17"/>
  <sheetViews>
    <sheetView showGridLines="0" topLeftCell="B1" zoomScale="80" zoomScaleNormal="80" workbookViewId="0">
      <selection activeCell="BE46" sqref="BE46"/>
    </sheetView>
  </sheetViews>
  <sheetFormatPr defaultRowHeight="14.5" x14ac:dyDescent="0.35"/>
  <cols>
    <col min="1" max="20" width="1.90625" customWidth="1"/>
    <col min="21" max="21" width="5.453125" customWidth="1"/>
    <col min="22" max="38" width="1.90625" customWidth="1"/>
  </cols>
  <sheetData>
    <row r="1" spans="4:49" ht="10.5" customHeight="1" x14ac:dyDescent="0.35"/>
    <row r="2" spans="4:49" ht="14.5" customHeight="1" x14ac:dyDescent="0.35">
      <c r="J2" s="36" t="s">
        <v>2040</v>
      </c>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c r="AR2" s="37"/>
      <c r="AS2" s="37"/>
      <c r="AT2" s="37"/>
      <c r="AU2" s="37"/>
      <c r="AV2" s="37"/>
      <c r="AW2" s="38"/>
    </row>
    <row r="3" spans="4:49" ht="14" customHeight="1" x14ac:dyDescent="0.55000000000000004">
      <c r="D3" s="16"/>
      <c r="J3" s="39"/>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1"/>
    </row>
    <row r="4" spans="4:49" ht="10.5" customHeight="1" x14ac:dyDescent="0.55000000000000004">
      <c r="D4" s="16"/>
      <c r="J4" s="42"/>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4"/>
    </row>
    <row r="5" spans="4:49" ht="3.5" customHeight="1" x14ac:dyDescent="0.35"/>
    <row r="6" spans="4:49" ht="3.5" customHeight="1" x14ac:dyDescent="0.35"/>
    <row r="7" spans="4:49" ht="10.5" customHeight="1" x14ac:dyDescent="0.35"/>
    <row r="8" spans="4:49" ht="10.5" customHeight="1" x14ac:dyDescent="0.35">
      <c r="G8" s="32" t="s">
        <v>2041</v>
      </c>
      <c r="H8" s="32"/>
      <c r="I8" s="32"/>
      <c r="J8" s="32"/>
      <c r="K8" s="32"/>
      <c r="L8" s="32"/>
      <c r="M8" s="32"/>
      <c r="N8" s="32"/>
      <c r="O8" s="32"/>
      <c r="P8" s="32"/>
      <c r="Q8" s="33"/>
      <c r="Y8" s="32" t="s">
        <v>2042</v>
      </c>
      <c r="Z8" s="32"/>
      <c r="AA8" s="32"/>
      <c r="AB8" s="32"/>
      <c r="AC8" s="32"/>
      <c r="AD8" s="32"/>
      <c r="AE8" s="32"/>
      <c r="AF8" s="32"/>
      <c r="AG8" s="32"/>
      <c r="AH8" s="32"/>
      <c r="AI8" s="33"/>
    </row>
    <row r="9" spans="4:49" ht="10.5" customHeight="1" x14ac:dyDescent="0.35">
      <c r="G9" s="32"/>
      <c r="H9" s="32"/>
      <c r="I9" s="32"/>
      <c r="J9" s="32"/>
      <c r="K9" s="32"/>
      <c r="L9" s="32"/>
      <c r="M9" s="32"/>
      <c r="N9" s="32"/>
      <c r="O9" s="32"/>
      <c r="P9" s="32"/>
      <c r="Q9" s="33"/>
      <c r="Y9" s="32"/>
      <c r="Z9" s="32"/>
      <c r="AA9" s="32"/>
      <c r="AB9" s="32"/>
      <c r="AC9" s="32"/>
      <c r="AD9" s="32"/>
      <c r="AE9" s="32"/>
      <c r="AF9" s="32"/>
      <c r="AG9" s="32"/>
      <c r="AH9" s="32"/>
      <c r="AI9" s="33"/>
    </row>
    <row r="10" spans="4:49" ht="10.5" customHeight="1" x14ac:dyDescent="0.35">
      <c r="G10" s="17"/>
      <c r="Y10" s="17"/>
    </row>
    <row r="11" spans="4:49" ht="10.5" customHeight="1" x14ac:dyDescent="0.35">
      <c r="H11" s="34">
        <f>GETPIVOTDATA("Revenue in numbers",Analysis!$C$39)</f>
        <v>26078804</v>
      </c>
      <c r="I11" s="34"/>
      <c r="J11" s="34"/>
      <c r="K11" s="34"/>
      <c r="L11" s="34"/>
      <c r="M11" s="34"/>
      <c r="N11" s="34"/>
      <c r="O11" s="34"/>
      <c r="P11" s="34"/>
      <c r="Q11" s="18"/>
      <c r="Z11" s="35">
        <f>GETPIVOTDATA("Units Sold",Analysis!$C$52)</f>
        <v>1056409</v>
      </c>
      <c r="AA11" s="35"/>
      <c r="AB11" s="35"/>
      <c r="AC11" s="35"/>
      <c r="AD11" s="35"/>
      <c r="AE11" s="35"/>
      <c r="AF11" s="35"/>
      <c r="AG11" s="35"/>
      <c r="AH11" s="35"/>
      <c r="AI11" s="18"/>
    </row>
    <row r="12" spans="4:49" ht="10.5" customHeight="1" x14ac:dyDescent="0.35">
      <c r="H12" s="34"/>
      <c r="I12" s="34"/>
      <c r="J12" s="34"/>
      <c r="K12" s="34"/>
      <c r="L12" s="34"/>
      <c r="M12" s="34"/>
      <c r="N12" s="34"/>
      <c r="O12" s="34"/>
      <c r="P12" s="34"/>
      <c r="Q12" s="18"/>
      <c r="Z12" s="35"/>
      <c r="AA12" s="35"/>
      <c r="AB12" s="35"/>
      <c r="AC12" s="35"/>
      <c r="AD12" s="35"/>
      <c r="AE12" s="35"/>
      <c r="AF12" s="35"/>
      <c r="AG12" s="35"/>
      <c r="AH12" s="35"/>
      <c r="AI12" s="18"/>
    </row>
    <row r="13" spans="4:49" ht="10.5" customHeight="1" x14ac:dyDescent="0.35"/>
    <row r="14" spans="4:49" ht="10.5" customHeight="1" x14ac:dyDescent="0.35"/>
    <row r="15" spans="4:49" ht="10.5" customHeight="1" x14ac:dyDescent="0.35"/>
    <row r="16" spans="4:49" ht="10.5" customHeight="1" x14ac:dyDescent="0.35"/>
    <row r="17" ht="10.5" customHeight="1" x14ac:dyDescent="0.35"/>
  </sheetData>
  <mergeCells count="5">
    <mergeCell ref="G8:Q9"/>
    <mergeCell ref="H11:P12"/>
    <mergeCell ref="Y8:AI9"/>
    <mergeCell ref="Z11:AH12"/>
    <mergeCell ref="J2:AW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933D9-F753-4F13-B4AF-D0A3304857FD}">
  <dimension ref="B1:P16"/>
  <sheetViews>
    <sheetView showGridLines="0" tabSelected="1" workbookViewId="0">
      <selection activeCell="J36" sqref="J36"/>
    </sheetView>
  </sheetViews>
  <sheetFormatPr defaultRowHeight="14.5" x14ac:dyDescent="0.35"/>
  <sheetData>
    <row r="1" spans="2:16" x14ac:dyDescent="0.35">
      <c r="B1" s="45" t="s">
        <v>2044</v>
      </c>
      <c r="C1" s="45"/>
      <c r="D1" s="45"/>
      <c r="E1" s="45"/>
      <c r="F1" s="45"/>
      <c r="G1" s="45"/>
      <c r="H1" s="45"/>
      <c r="I1" s="45"/>
      <c r="J1" s="45"/>
      <c r="K1" s="45"/>
      <c r="L1" s="45"/>
      <c r="M1" s="45"/>
      <c r="N1" s="45"/>
      <c r="O1" s="45"/>
      <c r="P1" s="45"/>
    </row>
    <row r="2" spans="2:16" x14ac:dyDescent="0.35">
      <c r="B2" s="45"/>
      <c r="C2" s="45"/>
      <c r="D2" s="45"/>
      <c r="E2" s="45"/>
      <c r="F2" s="45"/>
      <c r="G2" s="45"/>
      <c r="H2" s="45"/>
      <c r="I2" s="45"/>
      <c r="J2" s="45"/>
      <c r="K2" s="45"/>
      <c r="L2" s="45"/>
      <c r="M2" s="45"/>
      <c r="N2" s="45"/>
      <c r="O2" s="45"/>
      <c r="P2" s="45"/>
    </row>
    <row r="3" spans="2:16" ht="33.5" customHeight="1" thickBot="1" x14ac:dyDescent="0.4"/>
    <row r="4" spans="2:16" ht="19" thickBot="1" x14ac:dyDescent="0.5">
      <c r="B4" s="23" t="s">
        <v>2045</v>
      </c>
      <c r="C4" s="24"/>
      <c r="D4" s="24"/>
      <c r="E4" s="25"/>
      <c r="G4" s="26" t="s">
        <v>2046</v>
      </c>
      <c r="H4" s="27"/>
      <c r="I4" s="27"/>
      <c r="J4" s="28"/>
      <c r="L4" s="31" t="s">
        <v>2047</v>
      </c>
      <c r="M4" s="29"/>
      <c r="N4" s="29"/>
      <c r="O4" s="29"/>
      <c r="P4" s="30"/>
    </row>
    <row r="5" spans="2:16" ht="15" thickBot="1" x14ac:dyDescent="0.4"/>
    <row r="6" spans="2:16" x14ac:dyDescent="0.35">
      <c r="B6" s="46" t="s">
        <v>2048</v>
      </c>
      <c r="C6" s="47"/>
      <c r="D6" s="47"/>
      <c r="E6" s="48"/>
      <c r="F6" s="22" t="s">
        <v>2049</v>
      </c>
      <c r="G6" s="46" t="s">
        <v>2050</v>
      </c>
      <c r="H6" s="47"/>
      <c r="I6" s="47"/>
      <c r="J6" s="48"/>
      <c r="K6" s="22" t="s">
        <v>2049</v>
      </c>
      <c r="L6" s="46" t="s">
        <v>2051</v>
      </c>
      <c r="M6" s="47"/>
      <c r="N6" s="47"/>
      <c r="O6" s="47"/>
      <c r="P6" s="48"/>
    </row>
    <row r="7" spans="2:16" ht="15" thickBot="1" x14ac:dyDescent="0.4">
      <c r="B7" s="49"/>
      <c r="C7" s="50"/>
      <c r="D7" s="50"/>
      <c r="E7" s="51"/>
      <c r="G7" s="49"/>
      <c r="H7" s="50"/>
      <c r="I7" s="50"/>
      <c r="J7" s="51"/>
      <c r="L7" s="49"/>
      <c r="M7" s="50"/>
      <c r="N7" s="50"/>
      <c r="O7" s="50"/>
      <c r="P7" s="51"/>
    </row>
    <row r="8" spans="2:16" ht="15" thickBot="1" x14ac:dyDescent="0.4"/>
    <row r="9" spans="2:16" x14ac:dyDescent="0.35">
      <c r="B9" s="46" t="s">
        <v>2052</v>
      </c>
      <c r="C9" s="47"/>
      <c r="D9" s="47"/>
      <c r="E9" s="48"/>
      <c r="F9" s="22" t="s">
        <v>2049</v>
      </c>
      <c r="G9" s="46" t="s">
        <v>2053</v>
      </c>
      <c r="H9" s="47"/>
      <c r="I9" s="47"/>
      <c r="J9" s="48"/>
      <c r="K9" s="22" t="s">
        <v>2049</v>
      </c>
      <c r="L9" s="46" t="s">
        <v>2054</v>
      </c>
      <c r="M9" s="47"/>
      <c r="N9" s="47"/>
      <c r="O9" s="47"/>
      <c r="P9" s="48"/>
    </row>
    <row r="10" spans="2:16" ht="15" thickBot="1" x14ac:dyDescent="0.4">
      <c r="B10" s="49"/>
      <c r="C10" s="50"/>
      <c r="D10" s="50"/>
      <c r="E10" s="51"/>
      <c r="G10" s="49"/>
      <c r="H10" s="50"/>
      <c r="I10" s="50"/>
      <c r="J10" s="51"/>
      <c r="L10" s="49"/>
      <c r="M10" s="50"/>
      <c r="N10" s="50"/>
      <c r="O10" s="50"/>
      <c r="P10" s="51"/>
    </row>
    <row r="11" spans="2:16" ht="15" thickBot="1" x14ac:dyDescent="0.4"/>
    <row r="12" spans="2:16" x14ac:dyDescent="0.35">
      <c r="B12" s="46" t="s">
        <v>2055</v>
      </c>
      <c r="C12" s="47"/>
      <c r="D12" s="47"/>
      <c r="E12" s="48"/>
      <c r="F12" s="22" t="s">
        <v>2049</v>
      </c>
      <c r="G12" s="46" t="s">
        <v>2056</v>
      </c>
      <c r="H12" s="47"/>
      <c r="I12" s="47"/>
      <c r="J12" s="48"/>
      <c r="K12" s="22" t="s">
        <v>2049</v>
      </c>
      <c r="L12" s="46" t="s">
        <v>2057</v>
      </c>
      <c r="M12" s="47"/>
      <c r="N12" s="47"/>
      <c r="O12" s="47"/>
      <c r="P12" s="48"/>
    </row>
    <row r="13" spans="2:16" ht="15" thickBot="1" x14ac:dyDescent="0.4">
      <c r="B13" s="49"/>
      <c r="C13" s="50"/>
      <c r="D13" s="50"/>
      <c r="E13" s="51"/>
      <c r="G13" s="49"/>
      <c r="H13" s="50"/>
      <c r="I13" s="50"/>
      <c r="J13" s="51"/>
      <c r="L13" s="49"/>
      <c r="M13" s="50"/>
      <c r="N13" s="50"/>
      <c r="O13" s="50"/>
      <c r="P13" s="51"/>
    </row>
    <row r="14" spans="2:16" ht="15" thickBot="1" x14ac:dyDescent="0.4"/>
    <row r="15" spans="2:16" x14ac:dyDescent="0.35">
      <c r="B15" s="46" t="s">
        <v>2058</v>
      </c>
      <c r="C15" s="47"/>
      <c r="D15" s="47"/>
      <c r="E15" s="48"/>
      <c r="F15" s="22" t="s">
        <v>2049</v>
      </c>
      <c r="G15" s="46" t="s">
        <v>2059</v>
      </c>
      <c r="H15" s="47"/>
      <c r="I15" s="47"/>
      <c r="J15" s="48"/>
      <c r="K15" s="22" t="s">
        <v>2049</v>
      </c>
      <c r="L15" s="46" t="s">
        <v>2060</v>
      </c>
      <c r="M15" s="47"/>
      <c r="N15" s="47"/>
      <c r="O15" s="47"/>
      <c r="P15" s="48"/>
    </row>
    <row r="16" spans="2:16" ht="15" thickBot="1" x14ac:dyDescent="0.4">
      <c r="B16" s="49"/>
      <c r="C16" s="50"/>
      <c r="D16" s="50"/>
      <c r="E16" s="51"/>
      <c r="G16" s="49"/>
      <c r="H16" s="50"/>
      <c r="I16" s="50"/>
      <c r="J16" s="51"/>
      <c r="L16" s="49"/>
      <c r="M16" s="50"/>
      <c r="N16" s="50"/>
      <c r="O16" s="50"/>
      <c r="P16" s="51"/>
    </row>
  </sheetData>
  <mergeCells count="13">
    <mergeCell ref="L15:P16"/>
    <mergeCell ref="G15:J16"/>
    <mergeCell ref="B15:E16"/>
    <mergeCell ref="L12:P13"/>
    <mergeCell ref="G12:J13"/>
    <mergeCell ref="B12:E13"/>
    <mergeCell ref="B1:P2"/>
    <mergeCell ref="L9:P10"/>
    <mergeCell ref="G9:J10"/>
    <mergeCell ref="B9:E10"/>
    <mergeCell ref="L6:P7"/>
    <mergeCell ref="G6:J7"/>
    <mergeCell ref="B6:E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Analysis</vt:lpstr>
      <vt:lpstr>Dashboard</vt:lpstr>
      <vt:lpstr>Insights &amp; 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Himanshi</dc:creator>
  <cp:lastModifiedBy>Himanshi Wadhwa</cp:lastModifiedBy>
  <dcterms:created xsi:type="dcterms:W3CDTF">2026-09-01T16:09:03Z</dcterms:created>
  <dcterms:modified xsi:type="dcterms:W3CDTF">2026-09-02T22:57:13Z</dcterms:modified>
</cp:coreProperties>
</file>